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357FC097-3441-4DBC-96BC-D7152C0DD247}" xr6:coauthVersionLast="47" xr6:coauthVersionMax="47" xr10:uidLastSave="{00000000-0000-0000-0000-000000000000}"/>
  <bookViews>
    <workbookView xWindow="-110" yWindow="-110" windowWidth="19420" windowHeight="10300" activeTab="1" xr2:uid="{346724B3-1C49-40AE-AA36-C77CF5D6DD09}"/>
  </bookViews>
  <sheets>
    <sheet name="piv" sheetId="5" r:id="rId1"/>
    <sheet name="d" sheetId="6" r:id="rId2"/>
    <sheet name="Sheet2" sheetId="8" r:id="rId3"/>
    <sheet name="Sheet3" sheetId="9" r:id="rId4"/>
    <sheet name="Sheet1" sheetId="10" r:id="rId5"/>
    <sheet name="Sheet4" sheetId="11" r:id="rId6"/>
    <sheet name="Sheet5" sheetId="12" r:id="rId7"/>
    <sheet name="Data" sheetId="1" r:id="rId8"/>
    <sheet name="Questions &amp; KPIs" sheetId="2" r:id="rId9"/>
    <sheet name="Dashboard" sheetId="3" r:id="rId10"/>
    <sheet name="Logo &amp; Colors" sheetId="4" r:id="rId11"/>
  </sheets>
  <definedNames>
    <definedName name="_xlchart.v5.0" hidden="1">Sheet4!$F$3:$G$3</definedName>
    <definedName name="_xlchart.v5.1" hidden="1">Sheet4!$F$4:$G$61</definedName>
    <definedName name="_xlchart.v5.10" hidden="1">Sheet4!$H$3</definedName>
    <definedName name="_xlchart.v5.11" hidden="1">Sheet4!$H$4:$H$61</definedName>
    <definedName name="_xlchart.v5.2" hidden="1">Sheet4!$H$3</definedName>
    <definedName name="_xlchart.v5.3" hidden="1">Sheet4!$H$4:$H$61</definedName>
    <definedName name="_xlchart.v5.4" hidden="1">Sheet4!$J$3:$K$3</definedName>
    <definedName name="_xlchart.v5.5" hidden="1">Sheet4!$J$4:$K$61</definedName>
    <definedName name="_xlchart.v5.6" hidden="1">Sheet4!$L$3</definedName>
    <definedName name="_xlchart.v5.7" hidden="1">Sheet4!$L$4:$L$61</definedName>
    <definedName name="_xlchart.v5.8" hidden="1">Sheet4!$F$3:$G$3</definedName>
    <definedName name="_xlchart.v5.9" hidden="1">Sheet4!$F$4:$G$61</definedName>
    <definedName name="Slicer_Gender_Value">#N/A</definedName>
    <definedName name="Slicer_Order_Mode">#N/A</definedName>
  </definedNames>
  <calcPr calcId="191029"/>
  <pivotCaches>
    <pivotCache cacheId="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1" l="1"/>
  <c r="G5" i="11"/>
  <c r="H5" i="11"/>
  <c r="F6" i="11"/>
  <c r="G6" i="11"/>
  <c r="H6" i="11"/>
  <c r="F7" i="11"/>
  <c r="G7" i="11"/>
  <c r="H7" i="11"/>
  <c r="F8" i="11"/>
  <c r="G8" i="11"/>
  <c r="H8" i="11"/>
  <c r="F9" i="11"/>
  <c r="G9" i="11"/>
  <c r="H9" i="11"/>
  <c r="F10" i="11"/>
  <c r="G10" i="11"/>
  <c r="H10" i="11"/>
  <c r="F11" i="11"/>
  <c r="G11" i="11"/>
  <c r="H11" i="11"/>
  <c r="F12" i="11"/>
  <c r="G12" i="11"/>
  <c r="H12" i="11"/>
  <c r="F13" i="11"/>
  <c r="G13" i="11"/>
  <c r="H13" i="11"/>
  <c r="F14" i="11"/>
  <c r="G14" i="11"/>
  <c r="H14" i="11"/>
  <c r="F15" i="11"/>
  <c r="G15" i="11"/>
  <c r="H15" i="11"/>
  <c r="F16" i="11"/>
  <c r="G16" i="11"/>
  <c r="H16" i="11"/>
  <c r="F17" i="11"/>
  <c r="G17" i="11"/>
  <c r="H17" i="11"/>
  <c r="F18" i="11"/>
  <c r="G18" i="11"/>
  <c r="H18" i="11"/>
  <c r="F19" i="11"/>
  <c r="G19" i="11"/>
  <c r="H19" i="11"/>
  <c r="F20" i="11"/>
  <c r="G20" i="11"/>
  <c r="H20" i="11"/>
  <c r="F21" i="11"/>
  <c r="G21" i="11"/>
  <c r="H21" i="11"/>
  <c r="F22" i="11"/>
  <c r="G22" i="11"/>
  <c r="H22" i="11"/>
  <c r="F23" i="11"/>
  <c r="G23" i="11"/>
  <c r="H23" i="11"/>
  <c r="F24" i="11"/>
  <c r="G24" i="11"/>
  <c r="H24" i="11"/>
  <c r="F25" i="11"/>
  <c r="G25" i="11"/>
  <c r="H25" i="11"/>
  <c r="F26" i="11"/>
  <c r="G26" i="11"/>
  <c r="H26" i="11"/>
  <c r="F27" i="11"/>
  <c r="G27" i="11"/>
  <c r="H27" i="11"/>
  <c r="F28" i="11"/>
  <c r="G28" i="11"/>
  <c r="H28" i="11"/>
  <c r="F29" i="11"/>
  <c r="G29" i="11"/>
  <c r="H29" i="11"/>
  <c r="F30" i="11"/>
  <c r="G30" i="11"/>
  <c r="H30" i="11"/>
  <c r="F31" i="11"/>
  <c r="G31" i="11"/>
  <c r="H31" i="11"/>
  <c r="F32" i="11"/>
  <c r="G32" i="11"/>
  <c r="H32" i="11"/>
  <c r="F33" i="11"/>
  <c r="G33" i="11"/>
  <c r="H33" i="11"/>
  <c r="F34" i="11"/>
  <c r="G34" i="11"/>
  <c r="H34" i="11"/>
  <c r="F35" i="11"/>
  <c r="G35" i="11"/>
  <c r="H35" i="11"/>
  <c r="F36" i="11"/>
  <c r="G36" i="11"/>
  <c r="H36" i="11"/>
  <c r="F37" i="11"/>
  <c r="G37" i="11"/>
  <c r="H37" i="11"/>
  <c r="F38" i="11"/>
  <c r="G38" i="11"/>
  <c r="H38" i="11"/>
  <c r="F39" i="11"/>
  <c r="G39" i="11"/>
  <c r="H39" i="11"/>
  <c r="F40" i="11"/>
  <c r="G40" i="11"/>
  <c r="H40" i="11"/>
  <c r="F41" i="11"/>
  <c r="G41" i="11"/>
  <c r="H41" i="11"/>
  <c r="F42" i="11"/>
  <c r="G42" i="11"/>
  <c r="H42" i="11"/>
  <c r="F43" i="11"/>
  <c r="G43" i="11"/>
  <c r="H43" i="11"/>
  <c r="F44" i="11"/>
  <c r="G44" i="11"/>
  <c r="H44" i="11"/>
  <c r="F45" i="11"/>
  <c r="G45" i="11"/>
  <c r="H45" i="11"/>
  <c r="F46" i="11"/>
  <c r="G46" i="11"/>
  <c r="H46" i="11"/>
  <c r="F47" i="11"/>
  <c r="G47" i="11"/>
  <c r="H47" i="11"/>
  <c r="F48" i="11"/>
  <c r="G48" i="11"/>
  <c r="H48" i="11"/>
  <c r="F49" i="11"/>
  <c r="G49" i="11"/>
  <c r="H49" i="11"/>
  <c r="F50" i="11"/>
  <c r="G50" i="11"/>
  <c r="H50" i="11"/>
  <c r="F51" i="11"/>
  <c r="G51" i="11"/>
  <c r="H51" i="11"/>
  <c r="F52" i="11"/>
  <c r="G52" i="11"/>
  <c r="H52" i="11"/>
  <c r="F53" i="11"/>
  <c r="G53" i="11"/>
  <c r="H53" i="11"/>
  <c r="F54" i="11"/>
  <c r="G54" i="11"/>
  <c r="H54" i="11"/>
  <c r="F55" i="11"/>
  <c r="G55" i="11"/>
  <c r="H55" i="11"/>
  <c r="F56" i="11"/>
  <c r="G56" i="11"/>
  <c r="H56" i="11"/>
  <c r="F57" i="11"/>
  <c r="G57" i="11"/>
  <c r="H57" i="11"/>
  <c r="F58" i="11"/>
  <c r="G58" i="11"/>
  <c r="H58" i="11"/>
  <c r="F59" i="11"/>
  <c r="G59" i="11"/>
  <c r="H59" i="11"/>
  <c r="F60" i="11"/>
  <c r="G60" i="11"/>
  <c r="H60" i="11"/>
  <c r="F61" i="11"/>
  <c r="G61" i="11"/>
  <c r="H61" i="11"/>
  <c r="F62" i="11"/>
  <c r="G62" i="11"/>
  <c r="H62" i="11"/>
  <c r="F63" i="11"/>
  <c r="G63" i="11"/>
  <c r="H63" i="11"/>
  <c r="F64" i="11"/>
  <c r="G64" i="11"/>
  <c r="H64" i="11"/>
  <c r="F65" i="11"/>
  <c r="G65" i="11"/>
  <c r="H65" i="11"/>
  <c r="F66" i="11"/>
  <c r="G66" i="11"/>
  <c r="H66" i="11"/>
  <c r="F67" i="11"/>
  <c r="G67" i="11"/>
  <c r="H67" i="11"/>
  <c r="F68" i="11"/>
  <c r="G68" i="11"/>
  <c r="H68" i="11"/>
  <c r="F69" i="11"/>
  <c r="G69" i="11"/>
  <c r="H69" i="11"/>
  <c r="F70" i="11"/>
  <c r="G70" i="11"/>
  <c r="H70" i="11"/>
  <c r="F71" i="11"/>
  <c r="G71" i="11"/>
  <c r="H71" i="11"/>
  <c r="F72" i="11"/>
  <c r="G72" i="11"/>
  <c r="H72" i="11"/>
  <c r="F73" i="11"/>
  <c r="G73" i="11"/>
  <c r="H73" i="11"/>
  <c r="F74" i="11"/>
  <c r="G74" i="11"/>
  <c r="H74" i="11"/>
  <c r="F75" i="11"/>
  <c r="G75" i="11"/>
  <c r="H75" i="11"/>
  <c r="F76" i="11"/>
  <c r="G76" i="11"/>
  <c r="H76" i="11"/>
  <c r="F77" i="11"/>
  <c r="G77" i="11"/>
  <c r="H77" i="11"/>
  <c r="F78" i="11"/>
  <c r="G78" i="11"/>
  <c r="H78" i="11"/>
  <c r="F79" i="11"/>
  <c r="G79" i="11"/>
  <c r="H79" i="11"/>
  <c r="F80" i="11"/>
  <c r="G80" i="11"/>
  <c r="H80" i="11"/>
  <c r="F81" i="11"/>
  <c r="G81" i="11"/>
  <c r="H81" i="11"/>
  <c r="F82" i="11"/>
  <c r="G82" i="11"/>
  <c r="H82" i="11"/>
  <c r="F83" i="11"/>
  <c r="G83" i="11"/>
  <c r="H83" i="11"/>
  <c r="F84" i="11"/>
  <c r="G84" i="11"/>
  <c r="H84" i="11"/>
  <c r="G4" i="11"/>
  <c r="H4" i="11"/>
  <c r="J5" i="11"/>
  <c r="K5" i="11"/>
  <c r="L5" i="11"/>
  <c r="J6" i="11"/>
  <c r="K6" i="11"/>
  <c r="L6" i="11"/>
  <c r="J7" i="11"/>
  <c r="K7" i="11"/>
  <c r="L7" i="11"/>
  <c r="J8" i="11"/>
  <c r="K8" i="11"/>
  <c r="L8" i="11"/>
  <c r="J9" i="11"/>
  <c r="K9" i="11"/>
  <c r="L9" i="11"/>
  <c r="J10" i="11"/>
  <c r="K10" i="11"/>
  <c r="L10" i="11"/>
  <c r="J11" i="11"/>
  <c r="K11" i="11"/>
  <c r="L11" i="11"/>
  <c r="J12" i="11"/>
  <c r="K12" i="11"/>
  <c r="L12" i="11"/>
  <c r="J13" i="11"/>
  <c r="K13" i="11"/>
  <c r="L13" i="11"/>
  <c r="J14" i="11"/>
  <c r="K14" i="11"/>
  <c r="L14" i="11"/>
  <c r="J15" i="11"/>
  <c r="K15" i="11"/>
  <c r="L15" i="11"/>
  <c r="J16" i="11"/>
  <c r="K16" i="11"/>
  <c r="L16" i="11"/>
  <c r="J17" i="11"/>
  <c r="K17" i="11"/>
  <c r="L17" i="11"/>
  <c r="J18" i="11"/>
  <c r="K18" i="11"/>
  <c r="L18" i="11"/>
  <c r="J19" i="11"/>
  <c r="K19" i="11"/>
  <c r="L19" i="11"/>
  <c r="J20" i="11"/>
  <c r="K20" i="11"/>
  <c r="L20" i="11"/>
  <c r="J21" i="11"/>
  <c r="K21" i="11"/>
  <c r="L21" i="11"/>
  <c r="J22" i="11"/>
  <c r="K22" i="11"/>
  <c r="L22" i="11"/>
  <c r="J23" i="11"/>
  <c r="K23" i="11"/>
  <c r="L23" i="11"/>
  <c r="J24" i="11"/>
  <c r="K24" i="11"/>
  <c r="L24" i="11"/>
  <c r="J25" i="11"/>
  <c r="K25" i="11"/>
  <c r="L25" i="11"/>
  <c r="J26" i="11"/>
  <c r="K26" i="11"/>
  <c r="L26" i="11"/>
  <c r="J27" i="11"/>
  <c r="K27" i="11"/>
  <c r="L27" i="11"/>
  <c r="J28" i="11"/>
  <c r="K28" i="11"/>
  <c r="L28" i="11"/>
  <c r="J29" i="11"/>
  <c r="K29" i="11"/>
  <c r="L29" i="11"/>
  <c r="J30" i="11"/>
  <c r="K30" i="11"/>
  <c r="L30" i="11"/>
  <c r="J31" i="11"/>
  <c r="K31" i="11"/>
  <c r="L31" i="11"/>
  <c r="J32" i="11"/>
  <c r="K32" i="11"/>
  <c r="L32" i="11"/>
  <c r="J33" i="11"/>
  <c r="K33" i="11"/>
  <c r="L33" i="11"/>
  <c r="J34" i="11"/>
  <c r="K34" i="11"/>
  <c r="L34" i="11"/>
  <c r="J35" i="11"/>
  <c r="K35" i="11"/>
  <c r="L35" i="11"/>
  <c r="J36" i="11"/>
  <c r="K36" i="11"/>
  <c r="L36" i="11"/>
  <c r="J37" i="11"/>
  <c r="K37" i="11"/>
  <c r="L37" i="11"/>
  <c r="J38" i="11"/>
  <c r="K38" i="11"/>
  <c r="L38" i="11"/>
  <c r="J39" i="11"/>
  <c r="K39" i="11"/>
  <c r="L39" i="11"/>
  <c r="J40" i="11"/>
  <c r="K40" i="11"/>
  <c r="L40" i="11"/>
  <c r="J41" i="11"/>
  <c r="K41" i="11"/>
  <c r="L41" i="11"/>
  <c r="J42" i="11"/>
  <c r="K42" i="11"/>
  <c r="L42" i="11"/>
  <c r="J43" i="11"/>
  <c r="K43" i="11"/>
  <c r="L43" i="11"/>
  <c r="J44" i="11"/>
  <c r="K44" i="11"/>
  <c r="L44" i="11"/>
  <c r="J45" i="11"/>
  <c r="K45" i="11"/>
  <c r="L45" i="11"/>
  <c r="J46" i="11"/>
  <c r="K46" i="11"/>
  <c r="L46" i="11"/>
  <c r="J47" i="11"/>
  <c r="K47" i="11"/>
  <c r="L47" i="11"/>
  <c r="J48" i="11"/>
  <c r="K48" i="11"/>
  <c r="L48" i="11"/>
  <c r="J49" i="11"/>
  <c r="K49" i="11"/>
  <c r="L49" i="11"/>
  <c r="J50" i="11"/>
  <c r="K50" i="11"/>
  <c r="L50" i="11"/>
  <c r="J51" i="11"/>
  <c r="K51" i="11"/>
  <c r="L51" i="11"/>
  <c r="J52" i="11"/>
  <c r="K52" i="11"/>
  <c r="L52" i="11"/>
  <c r="J53" i="11"/>
  <c r="K53" i="11"/>
  <c r="L53" i="11"/>
  <c r="J54" i="11"/>
  <c r="K54" i="11"/>
  <c r="L54" i="11"/>
  <c r="J55" i="11"/>
  <c r="K55" i="11"/>
  <c r="L55" i="11"/>
  <c r="J56" i="11"/>
  <c r="K56" i="11"/>
  <c r="L56" i="11"/>
  <c r="J57" i="11"/>
  <c r="K57" i="11"/>
  <c r="L57" i="11"/>
  <c r="J58" i="11"/>
  <c r="K58" i="11"/>
  <c r="L58" i="11"/>
  <c r="J59" i="11"/>
  <c r="K59" i="11"/>
  <c r="L59" i="11"/>
  <c r="J60" i="11"/>
  <c r="K60" i="11"/>
  <c r="L60" i="11"/>
  <c r="J61" i="11"/>
  <c r="K61" i="11"/>
  <c r="L61" i="11"/>
  <c r="J62" i="11"/>
  <c r="K62" i="11"/>
  <c r="L62" i="11"/>
  <c r="J63" i="11"/>
  <c r="K63" i="11"/>
  <c r="L63" i="11"/>
  <c r="J64" i="11"/>
  <c r="K64" i="11"/>
  <c r="L64" i="11"/>
  <c r="J65" i="11"/>
  <c r="K65" i="11"/>
  <c r="L65" i="11"/>
  <c r="J66" i="11"/>
  <c r="K66" i="11"/>
  <c r="L66" i="11"/>
  <c r="J67" i="11"/>
  <c r="K67" i="11"/>
  <c r="L67" i="11"/>
  <c r="J68" i="11"/>
  <c r="K68" i="11"/>
  <c r="L68" i="11"/>
  <c r="J69" i="11"/>
  <c r="K69" i="11"/>
  <c r="L69" i="11"/>
  <c r="J70" i="11"/>
  <c r="K70" i="11"/>
  <c r="L70" i="11"/>
  <c r="J71" i="11"/>
  <c r="K71" i="11"/>
  <c r="L71" i="11"/>
  <c r="J72" i="11"/>
  <c r="K72" i="11"/>
  <c r="L72" i="11"/>
  <c r="J73" i="11"/>
  <c r="K73" i="11"/>
  <c r="L73" i="11"/>
  <c r="J74" i="11"/>
  <c r="K74" i="11"/>
  <c r="L74" i="11"/>
  <c r="J75" i="11"/>
  <c r="K75" i="11"/>
  <c r="L75" i="11"/>
  <c r="J76" i="11"/>
  <c r="K76" i="11"/>
  <c r="L76" i="11"/>
  <c r="J77" i="11"/>
  <c r="K77" i="11"/>
  <c r="L77" i="11"/>
  <c r="J78" i="11"/>
  <c r="K78" i="11"/>
  <c r="L78" i="11"/>
  <c r="J79" i="11"/>
  <c r="K79" i="11"/>
  <c r="L79" i="11"/>
  <c r="J80" i="11"/>
  <c r="K80" i="11"/>
  <c r="L80" i="11"/>
  <c r="J81" i="11"/>
  <c r="K81" i="11"/>
  <c r="L81" i="11"/>
  <c r="J82" i="11"/>
  <c r="K82" i="11"/>
  <c r="L82" i="11"/>
  <c r="J83" i="11"/>
  <c r="K83" i="11"/>
  <c r="L83" i="11"/>
  <c r="J84" i="11"/>
  <c r="K84" i="11"/>
  <c r="L84" i="11"/>
  <c r="K4" i="11"/>
  <c r="L4" i="11"/>
  <c r="J4" i="11"/>
  <c r="F4" i="11"/>
  <c r="K3" i="11"/>
  <c r="L3" i="11"/>
  <c r="J3" i="11"/>
  <c r="G3" i="11"/>
  <c r="H3" i="11"/>
  <c r="F3" i="11"/>
  <c r="I4" i="8"/>
  <c r="M4" i="8"/>
  <c r="J4" i="8"/>
  <c r="K4" i="8"/>
  <c r="L4" i="8"/>
  <c r="H6" i="8"/>
  <c r="I6" i="8"/>
  <c r="J6" i="8"/>
  <c r="K6" i="8"/>
  <c r="L6" i="8"/>
  <c r="M6" i="8"/>
  <c r="H7" i="8"/>
  <c r="I7" i="8"/>
  <c r="J7" i="8"/>
  <c r="K7" i="8"/>
  <c r="L7" i="8"/>
  <c r="M7" i="8"/>
  <c r="H8" i="8"/>
  <c r="I8" i="8"/>
  <c r="J8" i="8"/>
  <c r="K8" i="8"/>
  <c r="L8" i="8"/>
  <c r="M8" i="8"/>
  <c r="H9" i="8"/>
  <c r="I9" i="8"/>
  <c r="J9" i="8"/>
  <c r="K9" i="8"/>
  <c r="L9" i="8"/>
  <c r="M9" i="8"/>
  <c r="I5" i="8"/>
  <c r="J5" i="8"/>
  <c r="K5" i="8"/>
  <c r="L5" i="8"/>
  <c r="M5" i="8"/>
  <c r="H5" i="8"/>
  <c r="H4" i="5"/>
  <c r="I4" i="5"/>
  <c r="J4" i="5"/>
  <c r="K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<sst xmlns="http://schemas.openxmlformats.org/spreadsheetml/2006/main" count="14667" uniqueCount="2576">
  <si>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</si>
  <si>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</si>
  <si>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</si>
  <si>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</si>
  <si>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</si>
  <si>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</si>
  <si>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</si>
  <si>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</si>
  <si>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</si>
  <si>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</si>
  <si>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</si>
  <si>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</si>
  <si>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</si>
  <si>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</si>
  <si>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</si>
  <si>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</si>
  <si>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</si>
  <si>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</si>
  <si>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</si>
  <si>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</si>
  <si>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</si>
  <si>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</si>
  <si>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</si>
  <si>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</si>
  <si>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</si>
  <si>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</si>
  <si>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</si>
  <si>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</si>
  <si>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</si>
  <si>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</si>
  <si>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</si>
  <si>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</si>
  <si>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</si>
  <si>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</si>
  <si>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</si>
  <si>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</si>
  <si>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</si>
  <si>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</si>
  <si>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</si>
  <si>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</si>
  <si>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</si>
  <si>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</si>
  <si>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</si>
  <si>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</si>
  <si>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</si>
  <si>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</si>
  <si>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</si>
  <si>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</si>
  <si>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</si>
  <si>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</si>
  <si>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</si>
  <si>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</si>
  <si>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</si>
  <si>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</si>
  <si>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</si>
  <si>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</si>
  <si>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</si>
  <si>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</si>
  <si>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</si>
  <si>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</si>
  <si>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</si>
  <si>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</si>
  <si>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</si>
  <si>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</si>
  <si>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</si>
  <si>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</si>
  <si>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</si>
  <si>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</si>
  <si>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</si>
  <si>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</si>
  <si>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</si>
  <si>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</si>
  <si>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</si>
  <si>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</si>
  <si>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</si>
  <si>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</si>
  <si>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</si>
  <si>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</si>
  <si>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</si>
  <si>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</si>
  <si>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</si>
  <si>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</si>
  <si>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</si>
  <si>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</si>
  <si>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</si>
  <si>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</si>
  <si>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</si>
  <si>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</si>
  <si>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</si>
  <si>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</si>
  <si>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</si>
  <si>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</si>
  <si>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</si>
  <si>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</si>
  <si>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</si>
  <si>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</si>
  <si>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</si>
  <si>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</si>
  <si>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</si>
  <si>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</si>
  <si>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</si>
  <si>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</si>
  <si>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</si>
  <si>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</si>
  <si>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</si>
  <si>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</si>
  <si>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</si>
  <si>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</si>
  <si>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</si>
  <si>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</si>
  <si>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</si>
  <si>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</si>
  <si>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</si>
  <si>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</si>
  <si>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</si>
  <si>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</si>
  <si>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</si>
  <si>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</si>
  <si>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</si>
  <si>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</si>
  <si>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</si>
  <si>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</si>
  <si>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</si>
  <si>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</si>
  <si>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</si>
  <si>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</si>
  <si>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</si>
  <si>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</si>
  <si>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</si>
  <si>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</si>
  <si>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</si>
  <si>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</si>
  <si>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</si>
  <si>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</si>
  <si>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</si>
  <si>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</si>
  <si>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</si>
  <si>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</si>
  <si>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</si>
  <si>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</si>
  <si>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</si>
  <si>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</si>
  <si>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</si>
  <si>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</si>
  <si>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</si>
  <si>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</si>
  <si>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</si>
  <si>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</si>
  <si>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</si>
  <si>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</si>
  <si>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</si>
  <si>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</si>
  <si>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</si>
  <si>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</si>
  <si>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</si>
  <si>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</si>
  <si>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</si>
  <si>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</si>
  <si>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</si>
  <si>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</si>
  <si>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</si>
  <si>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</si>
  <si>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</si>
  <si>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</si>
  <si>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</si>
  <si>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</si>
  <si>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</si>
  <si>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</si>
  <si>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</si>
  <si>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</si>
  <si>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</si>
  <si>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</si>
  <si>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</si>
  <si>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</si>
  <si>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</si>
  <si>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</si>
  <si>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</si>
  <si>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</si>
  <si>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</si>
  <si>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</si>
  <si>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</si>
  <si>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</si>
  <si>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</si>
  <si>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</si>
  <si>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</si>
  <si>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</si>
  <si>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</si>
  <si>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</si>
  <si>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</si>
  <si>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</si>
  <si>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</si>
  <si>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</si>
  <si>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</si>
  <si>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</si>
  <si>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</si>
  <si>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</si>
  <si>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</si>
  <si>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</si>
  <si>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</si>
  <si>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</si>
  <si>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</si>
  <si>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</si>
  <si>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</si>
  <si>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</si>
  <si>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</si>
  <si>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</si>
  <si>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</si>
  <si>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</si>
  <si>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</si>
  <si>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</si>
  <si>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</si>
  <si>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</si>
  <si>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</si>
  <si>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</si>
  <si>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</si>
  <si>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</si>
  <si>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</si>
  <si>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</si>
  <si>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</si>
  <si>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</si>
  <si>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</si>
  <si>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</si>
  <si>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</si>
  <si>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</si>
  <si>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</si>
  <si>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</si>
  <si>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</si>
  <si>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</si>
  <si>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</si>
  <si>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</si>
  <si>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</si>
  <si>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</si>
  <si>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</si>
  <si>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</si>
  <si>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</si>
  <si>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</si>
  <si>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</si>
  <si>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</si>
  <si>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</si>
  <si>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</si>
  <si>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</si>
  <si>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</si>
  <si>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</si>
  <si>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</si>
  <si>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</si>
  <si>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</si>
  <si>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</si>
  <si>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</si>
  <si>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</si>
  <si>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</si>
  <si>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</si>
  <si>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</si>
  <si>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</si>
  <si>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</si>
  <si>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</si>
  <si>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</si>
  <si>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</si>
  <si>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</si>
  <si>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</si>
  <si>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</si>
  <si>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</si>
  <si>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</si>
  <si>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</si>
  <si>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</si>
  <si>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</si>
  <si>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</si>
  <si>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</si>
  <si>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</si>
  <si>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</si>
  <si>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</si>
  <si>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</si>
  <si>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</si>
  <si>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</si>
  <si>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</si>
  <si>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</si>
  <si>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</si>
  <si>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</si>
  <si>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</si>
  <si>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</si>
  <si>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</si>
  <si>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</si>
  <si>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</si>
  <si>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</si>
  <si>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</si>
  <si>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</si>
  <si>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</si>
  <si>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</si>
  <si>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</si>
  <si>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</si>
  <si>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</si>
  <si>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</si>
  <si>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</si>
  <si>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</si>
  <si>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</si>
  <si>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</si>
  <si>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</si>
  <si>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</si>
  <si>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</si>
  <si>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</si>
  <si>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</si>
  <si>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</si>
  <si>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</si>
  <si>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</si>
  <si>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</si>
  <si>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</si>
  <si>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</si>
  <si>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</si>
  <si>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</si>
  <si>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</si>
  <si>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</si>
  <si>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</si>
  <si>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</si>
  <si>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</si>
  <si>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</si>
  <si>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</si>
  <si>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</si>
  <si>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</si>
  <si>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</si>
  <si>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</si>
  <si>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</si>
  <si>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</si>
  <si>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</si>
  <si>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</si>
  <si>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</si>
  <si>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</si>
  <si>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</si>
  <si>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</si>
  <si>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</si>
  <si>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</si>
  <si>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</si>
  <si>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</si>
  <si>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</si>
  <si>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</si>
  <si>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</si>
  <si>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</si>
  <si>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</si>
  <si>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</si>
  <si>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</si>
  <si>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</si>
  <si>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</si>
  <si>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</si>
  <si>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</si>
  <si>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</si>
  <si>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</si>
  <si>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</si>
  <si>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</si>
  <si>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</si>
  <si>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</si>
  <si>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</si>
  <si>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</si>
  <si>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</si>
  <si>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</si>
  <si>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</si>
  <si>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</si>
  <si>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</si>
  <si>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</si>
  <si>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</si>
  <si>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</si>
  <si>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</si>
  <si>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</si>
  <si>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</si>
  <si>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</si>
  <si>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</si>
  <si>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</si>
  <si>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</si>
  <si>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</si>
  <si>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</si>
  <si>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</si>
  <si>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</si>
  <si>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</si>
  <si>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</si>
  <si>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</si>
  <si>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</si>
  <si>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</si>
  <si>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</si>
  <si>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</si>
  <si>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</si>
  <si>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</si>
  <si>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</si>
  <si>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</si>
  <si>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</si>
  <si>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</si>
  <si>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</si>
  <si>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</si>
  <si>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</si>
  <si>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</si>
  <si>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</si>
  <si>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</si>
  <si>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</si>
  <si>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</si>
  <si>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</si>
  <si>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</si>
  <si>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</si>
  <si>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</si>
  <si>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</si>
  <si>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</si>
  <si>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</si>
  <si>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</si>
  <si>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</si>
  <si>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</si>
  <si>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</si>
  <si>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</si>
  <si>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</si>
  <si>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</si>
  <si>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</si>
  <si>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</si>
  <si>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</si>
  <si>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</si>
  <si>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</si>
  <si>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</si>
  <si>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</si>
  <si>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</si>
  <si>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</si>
  <si>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</si>
  <si>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</si>
  <si>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</si>
  <si>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</si>
  <si>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</si>
  <si>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</si>
  <si>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</si>
  <si>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</si>
  <si>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</si>
  <si>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</si>
  <si>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</si>
  <si>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</si>
  <si>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</si>
  <si>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</si>
  <si>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</si>
  <si>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</si>
  <si>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</si>
  <si>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</si>
  <si>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</si>
  <si>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</si>
  <si>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</si>
  <si>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</si>
  <si>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</si>
  <si>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</si>
  <si>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</si>
  <si>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</si>
  <si>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</si>
  <si>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</si>
  <si>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</si>
  <si>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</si>
  <si>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</si>
  <si>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</si>
  <si>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</si>
  <si>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</si>
  <si>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</si>
  <si>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</si>
  <si>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</si>
  <si>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</si>
  <si>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</si>
  <si>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</si>
  <si>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</si>
  <si>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</si>
  <si>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</si>
  <si>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</si>
  <si>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</si>
  <si>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</si>
  <si>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</si>
  <si>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</si>
  <si>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</si>
  <si>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</si>
  <si>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</si>
  <si>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</si>
  <si>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</si>
  <si>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</si>
  <si>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</si>
  <si>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</si>
  <si>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</si>
  <si>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</si>
  <si>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</si>
  <si>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</si>
  <si>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</si>
  <si>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</si>
  <si>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</si>
  <si>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</si>
  <si>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</si>
  <si>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</si>
  <si>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</si>
  <si>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</si>
  <si>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</si>
  <si>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</si>
  <si>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</si>
  <si>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</si>
  <si>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</si>
  <si>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</si>
  <si>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</si>
  <si>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</si>
  <si>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</si>
  <si>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</si>
  <si>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</si>
  <si>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</si>
  <si>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</si>
  <si>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</si>
  <si>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</si>
  <si>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</si>
  <si>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</si>
  <si>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</si>
  <si>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</si>
  <si>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</si>
  <si>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</si>
  <si>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</si>
  <si>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</si>
  <si>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</si>
  <si>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</si>
  <si>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</si>
  <si>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</si>
  <si>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</si>
  <si>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</si>
  <si>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</si>
  <si>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</si>
  <si>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</si>
  <si>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</si>
  <si>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</si>
  <si>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</si>
  <si>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</si>
  <si>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</si>
  <si>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</si>
  <si>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</si>
  <si>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</si>
  <si>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</si>
  <si>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</si>
  <si>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</si>
  <si>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</si>
  <si>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</si>
  <si>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</si>
  <si>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</si>
  <si>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</si>
  <si>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</si>
  <si>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</si>
  <si>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</si>
  <si>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</si>
  <si>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</si>
  <si>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</si>
  <si>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</si>
  <si>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</si>
  <si>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</si>
  <si>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</si>
  <si>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</si>
  <si>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</si>
  <si>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</si>
  <si>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</si>
  <si>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</si>
  <si>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</si>
  <si>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</si>
  <si>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</si>
  <si>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</si>
  <si>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</si>
  <si>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</si>
  <si>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</si>
  <si>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</si>
  <si>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</si>
  <si>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</si>
  <si>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</si>
  <si>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</si>
  <si>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</si>
  <si>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</si>
  <si>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</si>
  <si>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</si>
  <si>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</si>
  <si>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</si>
  <si>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</si>
  <si>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</si>
  <si>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</si>
  <si>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</si>
  <si>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</si>
  <si>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</si>
  <si>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</si>
  <si>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</si>
  <si>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</si>
  <si>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</si>
  <si>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</si>
  <si>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</si>
  <si>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</si>
  <si>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</si>
  <si>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</si>
  <si>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</si>
  <si>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</si>
  <si>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</si>
  <si>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</si>
  <si>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</si>
  <si>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</si>
  <si>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</si>
  <si>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</si>
  <si>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</si>
  <si>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</si>
  <si>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</si>
  <si>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</si>
  <si>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</si>
  <si>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</si>
  <si>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</si>
  <si>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</si>
  <si>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</si>
  <si>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</si>
  <si>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</si>
  <si>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</si>
  <si>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</si>
  <si>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</si>
  <si>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</si>
  <si>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</si>
  <si>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</si>
  <si>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</si>
  <si>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</si>
  <si>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</si>
  <si>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</si>
  <si>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</si>
  <si>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</si>
  <si>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</si>
  <si>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</si>
  <si>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</si>
  <si>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</si>
  <si>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</si>
  <si>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</si>
  <si>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</si>
  <si>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</si>
  <si>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</si>
  <si>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</si>
  <si>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</si>
  <si>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</si>
  <si>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</si>
  <si>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</si>
  <si>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</si>
  <si>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</si>
  <si>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</si>
  <si>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</si>
  <si>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</si>
  <si>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</si>
  <si>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</si>
  <si>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</si>
  <si>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</si>
  <si>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</si>
  <si>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</si>
  <si>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</si>
  <si>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</si>
  <si>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</si>
  <si>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</si>
  <si>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</si>
  <si>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</si>
  <si>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</si>
  <si>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</si>
  <si>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</si>
  <si>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</si>
  <si>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</si>
  <si>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</si>
  <si>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</si>
  <si>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</si>
  <si>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</si>
  <si>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</si>
  <si>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</si>
  <si>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</si>
  <si>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</si>
  <si>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</si>
  <si>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</si>
  <si>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</si>
  <si>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</si>
  <si>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</si>
  <si>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</si>
  <si>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</si>
  <si>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</si>
  <si>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</si>
  <si>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</si>
  <si>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</si>
  <si>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</si>
  <si>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</si>
  <si>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</si>
  <si>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</si>
  <si>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</si>
  <si>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</si>
  <si>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</si>
  <si>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</si>
  <si>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</si>
  <si>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</si>
  <si>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</si>
  <si>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</si>
  <si>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</si>
  <si>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</si>
  <si>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</si>
  <si>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</si>
  <si>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</si>
  <si>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</si>
  <si>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</si>
  <si>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</si>
  <si>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</si>
  <si>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</si>
  <si>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</si>
  <si>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</si>
  <si>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</si>
  <si>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</si>
  <si>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</si>
  <si>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</si>
  <si>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</si>
  <si>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</si>
  <si>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</si>
  <si>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</si>
  <si>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</si>
  <si>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</si>
  <si>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</si>
  <si>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</si>
  <si>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</si>
  <si>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</si>
  <si>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</si>
  <si>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</si>
  <si>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</si>
  <si>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</si>
  <si>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</si>
  <si>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</si>
  <si>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</si>
  <si>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</si>
  <si>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</si>
  <si>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</si>
  <si>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</si>
  <si>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</si>
  <si>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</si>
  <si>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</si>
  <si>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</si>
  <si>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</si>
  <si>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</si>
  <si>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</si>
  <si>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</si>
  <si>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</si>
  <si>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</si>
  <si>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</si>
  <si>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</si>
  <si>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</si>
  <si>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</si>
  <si>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</si>
  <si>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</si>
  <si>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</si>
  <si>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</si>
  <si>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</si>
  <si>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</si>
  <si>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</si>
  <si>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</si>
  <si>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</si>
  <si>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</si>
  <si>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</si>
  <si>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</si>
  <si>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</si>
  <si>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</si>
  <si>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</si>
  <si>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</si>
  <si>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</si>
  <si>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</si>
  <si>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</si>
  <si>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</si>
  <si>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</si>
  <si>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</si>
  <si>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</si>
  <si>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</si>
  <si>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</si>
  <si>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</si>
  <si>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</si>
  <si>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</si>
  <si>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</si>
  <si>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</si>
  <si>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</si>
  <si>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</si>
  <si>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</si>
  <si>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</si>
  <si>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</si>
  <si>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</si>
  <si>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</si>
  <si>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</si>
  <si>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</si>
  <si>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</si>
  <si>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</si>
  <si>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</si>
  <si>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</si>
  <si>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</si>
  <si>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</si>
  <si>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</si>
  <si>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</si>
  <si>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</si>
  <si>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</si>
  <si>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</si>
  <si>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</si>
  <si>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</si>
  <si>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</si>
  <si>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</si>
  <si>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</si>
  <si>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</si>
  <si>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</si>
  <si>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</si>
  <si>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</si>
  <si>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</si>
  <si>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</si>
  <si>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</si>
  <si>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</si>
  <si>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</si>
  <si>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</si>
  <si>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</si>
  <si>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</si>
  <si>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</si>
  <si>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</si>
  <si>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</si>
  <si>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</si>
  <si>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</si>
  <si>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</si>
  <si>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</si>
  <si>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</si>
  <si>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</si>
  <si>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</si>
  <si>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</si>
  <si>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</si>
  <si>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</si>
  <si>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</si>
  <si>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</si>
  <si>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</si>
  <si>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</si>
  <si>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</si>
  <si>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</si>
  <si>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</si>
  <si>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</si>
  <si>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</si>
  <si>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</si>
  <si>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</si>
  <si>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</si>
  <si>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</si>
  <si>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</si>
  <si>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</si>
  <si>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</si>
  <si>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</si>
  <si>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</si>
  <si>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</si>
  <si>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</si>
  <si>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</si>
  <si>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</si>
  <si>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</si>
  <si>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</si>
  <si>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</si>
  <si>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</si>
  <si>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</si>
  <si>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</si>
  <si>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</si>
  <si>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</si>
  <si>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</si>
  <si>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</si>
  <si>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</si>
  <si>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</si>
  <si>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</si>
  <si>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</si>
  <si>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</si>
  <si>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</si>
  <si>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</si>
  <si>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</si>
  <si>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</si>
  <si>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</si>
  <si>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</si>
  <si>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</si>
  <si>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</si>
  <si>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</si>
  <si>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</si>
  <si>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</si>
  <si>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</si>
  <si>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</si>
  <si>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</si>
  <si>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</si>
  <si>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</si>
  <si>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</si>
  <si>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</si>
  <si>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</si>
  <si>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</si>
  <si>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</si>
  <si>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</si>
  <si>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</si>
  <si>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</si>
  <si>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</si>
  <si>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</si>
  <si>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</si>
  <si>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</si>
  <si>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</si>
  <si>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</si>
  <si>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</si>
  <si>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</si>
  <si>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</si>
  <si>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</si>
  <si>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</si>
  <si>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</si>
  <si>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</si>
  <si>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</si>
  <si>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</si>
  <si>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</si>
  <si>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</si>
  <si>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</si>
  <si>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</si>
  <si>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</si>
  <si>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</si>
  <si>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</si>
  <si>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</si>
  <si>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</si>
  <si>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</si>
  <si>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</si>
  <si>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</si>
  <si>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</si>
  <si>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</si>
  <si>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</si>
  <si>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</si>
  <si>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</si>
  <si>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</si>
  <si>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</si>
  <si>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</si>
  <si>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</si>
  <si>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</si>
  <si>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</si>
  <si>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</si>
  <si>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</si>
  <si>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</si>
  <si>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</si>
  <si>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</si>
  <si>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</si>
  <si>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</si>
  <si>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</si>
  <si>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</si>
  <si>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</si>
  <si>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</si>
  <si>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</si>
  <si>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</si>
  <si>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</si>
  <si>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</si>
  <si>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</si>
  <si>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</si>
  <si>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</si>
  <si>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</si>
  <si>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</si>
  <si>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</si>
  <si>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</si>
  <si>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</si>
  <si>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</si>
  <si>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</si>
  <si>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</si>
  <si>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</si>
  <si>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</si>
  <si>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</si>
  <si>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</si>
  <si>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</si>
  <si>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</si>
  <si>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</si>
  <si>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</si>
  <si>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</si>
  <si>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</si>
  <si>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</si>
  <si>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</si>
  <si>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</si>
  <si>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</si>
  <si>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</si>
  <si>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</si>
  <si>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</si>
  <si>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</si>
  <si>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</si>
  <si>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</si>
  <si>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</si>
  <si>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</si>
  <si>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</si>
  <si>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</si>
  <si>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</si>
  <si>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</si>
  <si>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</si>
  <si>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</si>
  <si>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</si>
  <si>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</si>
  <si>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</si>
  <si>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</si>
  <si>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</si>
  <si>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</si>
  <si>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</si>
  <si>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</si>
  <si>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</si>
  <si>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</si>
  <si>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</si>
  <si>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</si>
  <si>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</si>
  <si>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</si>
  <si>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</si>
  <si>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</si>
  <si>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</si>
  <si>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</si>
  <si>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</si>
  <si>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</si>
  <si>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</si>
  <si>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</si>
  <si>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</si>
  <si>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</si>
  <si>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</si>
  <si>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</si>
  <si>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</si>
  <si>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</si>
  <si>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</si>
  <si>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</si>
  <si>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</si>
  <si>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</si>
  <si>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</si>
  <si>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</si>
  <si>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</si>
  <si>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</si>
  <si>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</si>
  <si>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</si>
  <si>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</si>
  <si>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</si>
  <si>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</si>
  <si>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</si>
  <si>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</si>
  <si>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</si>
  <si>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</si>
  <si>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</si>
  <si>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</si>
  <si>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</si>
  <si>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</si>
  <si>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</si>
  <si>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</si>
  <si>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</si>
  <si>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</si>
  <si>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</si>
  <si>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</si>
  <si>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</si>
  <si>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</si>
  <si>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</si>
  <si>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</si>
  <si>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</si>
  <si>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</si>
  <si>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</si>
  <si>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</si>
  <si>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</si>
  <si>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</si>
  <si>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</si>
  <si>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</si>
  <si>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</si>
  <si>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</si>
  <si>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</si>
  <si>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</si>
  <si>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</si>
  <si>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</si>
  <si>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</si>
  <si>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</si>
  <si>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</si>
  <si>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</si>
  <si>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</si>
  <si>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</si>
  <si>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</si>
  <si>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</si>
  <si>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</si>
  <si>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</si>
  <si>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</si>
  <si>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</si>
  <si>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</si>
  <si>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</si>
  <si>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</si>
  <si>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</si>
  <si>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</si>
  <si>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</si>
  <si>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</si>
  <si>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</si>
  <si>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</si>
  <si>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</si>
  <si>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</si>
  <si>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</si>
  <si>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</si>
  <si>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</si>
  <si>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</si>
  <si>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</si>
  <si>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</si>
  <si>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</si>
  <si>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</si>
  <si>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</si>
  <si>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</si>
  <si>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</si>
  <si>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</si>
  <si>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</si>
  <si>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</si>
  <si>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</si>
  <si>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</si>
  <si>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</si>
  <si>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</si>
  <si>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</si>
  <si>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</si>
  <si>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</si>
  <si>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</si>
  <si>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</si>
  <si>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</si>
  <si>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</si>
  <si>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</si>
  <si>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</si>
  <si>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</si>
  <si>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</si>
  <si>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</si>
  <si>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</si>
  <si>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</si>
  <si>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</si>
  <si>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</si>
  <si>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</si>
  <si>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</si>
  <si>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</si>
  <si>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</si>
  <si>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</si>
  <si>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</si>
  <si>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</si>
  <si>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</si>
  <si>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</si>
  <si>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</si>
  <si>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</si>
  <si>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</si>
  <si>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</si>
  <si>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</si>
  <si>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</si>
  <si>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</si>
  <si>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</si>
  <si>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</si>
  <si>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</si>
  <si>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</si>
  <si>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</si>
  <si>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</si>
  <si>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</si>
  <si>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</si>
  <si>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</si>
  <si>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</si>
  <si>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</si>
  <si>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</si>
  <si>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</si>
  <si>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</si>
  <si>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</si>
  <si>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</si>
  <si>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</si>
  <si>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</si>
  <si>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</si>
  <si>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</si>
  <si>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</si>
  <si>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</si>
  <si>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</si>
  <si>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</si>
  <si>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</si>
  <si>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</si>
  <si>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</si>
  <si>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</si>
  <si>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</si>
  <si>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</si>
  <si>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</si>
  <si>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</si>
  <si>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</si>
  <si>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</si>
  <si>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</si>
  <si>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</si>
  <si>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</si>
  <si>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</si>
  <si>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</si>
  <si>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</si>
  <si>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</si>
  <si>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</si>
  <si>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</si>
  <si>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</si>
  <si>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</si>
  <si>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</si>
  <si>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</si>
  <si>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</si>
  <si>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</si>
  <si>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</si>
  <si>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</si>
  <si>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</si>
  <si>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</si>
  <si>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</si>
  <si>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</si>
  <si>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</si>
  <si>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</si>
  <si>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</si>
  <si>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</si>
  <si>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</si>
  <si>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</si>
  <si>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</si>
  <si>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</si>
  <si>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</si>
  <si>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</si>
  <si>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</si>
  <si>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</si>
  <si>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</si>
  <si>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</si>
  <si>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</si>
  <si>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</si>
  <si>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</si>
  <si>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</si>
  <si>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</si>
  <si>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</si>
  <si>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</si>
  <si>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</si>
  <si>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</si>
  <si>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</si>
  <si>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</si>
  <si>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</si>
  <si>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</si>
  <si>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</si>
  <si>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</si>
  <si>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</si>
  <si>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</si>
  <si>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</si>
  <si>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</si>
  <si>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</si>
  <si>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</si>
  <si>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</si>
  <si>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</si>
  <si>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</si>
  <si>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</si>
  <si>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</si>
  <si>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</si>
  <si>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</si>
  <si>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</si>
  <si>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</si>
  <si>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</si>
  <si>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</si>
  <si>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</si>
  <si>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</si>
  <si>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</si>
  <si>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</si>
  <si>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</si>
  <si>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</si>
  <si>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</si>
  <si>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</si>
  <si>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</si>
  <si>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</si>
  <si>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</si>
  <si>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</si>
  <si>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</si>
  <si>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</si>
  <si>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</si>
  <si>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</si>
  <si>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</si>
  <si>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</si>
  <si>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</si>
  <si>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</si>
  <si>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</si>
  <si>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</si>
  <si>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</si>
  <si>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</si>
  <si>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</si>
  <si>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</si>
  <si>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</si>
  <si>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</si>
  <si>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</si>
  <si>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</si>
  <si>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</si>
  <si>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</si>
  <si>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</si>
  <si>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</si>
  <si>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</si>
  <si>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</si>
  <si>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</si>
  <si>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</si>
  <si>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</si>
  <si>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</si>
  <si>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</si>
  <si>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</si>
  <si>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</si>
  <si>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</si>
  <si>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</si>
  <si>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</si>
  <si>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</si>
  <si>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</si>
  <si>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</si>
  <si>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</si>
  <si>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</si>
  <si>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</si>
  <si>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</si>
  <si>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</si>
  <si>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</si>
  <si>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</si>
  <si>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</si>
  <si>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</si>
  <si>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</si>
  <si>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</si>
  <si>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</si>
  <si>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</si>
  <si>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</si>
  <si>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</si>
  <si>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</si>
  <si>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</si>
  <si>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</si>
  <si>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</si>
  <si>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</si>
  <si>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</si>
  <si>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</si>
  <si>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</si>
  <si>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</si>
  <si>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</si>
  <si>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</si>
  <si>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</si>
  <si>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</si>
  <si>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</si>
  <si>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</si>
  <si>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</si>
  <si>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</si>
  <si>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</si>
  <si>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</si>
  <si>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</si>
  <si>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</si>
  <si>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</si>
  <si>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</si>
  <si>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</si>
  <si>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</si>
  <si>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</si>
  <si>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</si>
  <si>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</si>
  <si>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</si>
  <si>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</si>
  <si>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</si>
  <si>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</si>
  <si>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</si>
  <si>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</si>
  <si>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</si>
  <si>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</si>
  <si>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</si>
  <si>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</si>
  <si>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</si>
  <si>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</si>
  <si>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</si>
  <si>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</si>
  <si>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</si>
  <si>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</si>
  <si>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</si>
  <si>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</si>
  <si>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</si>
  <si>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</si>
  <si>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</si>
  <si>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</si>
  <si>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</si>
  <si>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</si>
  <si>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</si>
  <si>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</si>
  <si>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</si>
  <si>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</si>
  <si>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</si>
  <si>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</si>
  <si>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</si>
  <si>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</si>
  <si>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</si>
  <si>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</si>
  <si>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</si>
  <si>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</si>
  <si>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</si>
  <si>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</si>
  <si>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</si>
  <si>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</si>
  <si>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</si>
  <si>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</si>
  <si>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</si>
  <si>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</si>
  <si>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</si>
  <si>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</si>
  <si>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</si>
  <si>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</si>
  <si>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</si>
  <si>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</si>
  <si>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</si>
  <si>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</si>
  <si>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</si>
  <si>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</si>
  <si>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</si>
  <si>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</si>
  <si>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</si>
  <si>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</si>
  <si>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</si>
  <si>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</si>
  <si>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</si>
  <si>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</si>
  <si>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</si>
  <si>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</si>
  <si>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</si>
  <si>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</si>
  <si>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</si>
  <si>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</si>
  <si>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</si>
  <si>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</si>
  <si>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</si>
  <si>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</si>
  <si>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</si>
  <si>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</si>
  <si>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</si>
  <si>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</si>
  <si>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</si>
  <si>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</si>
  <si>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</si>
  <si>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</si>
  <si>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</si>
  <si>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</si>
  <si>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</si>
  <si>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</si>
  <si>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</si>
  <si>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</si>
  <si>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</si>
  <si>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</si>
  <si>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</si>
  <si>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</si>
  <si>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</si>
  <si>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</si>
  <si>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</si>
  <si>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</si>
  <si>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</si>
  <si>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</si>
  <si>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</si>
  <si>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</si>
  <si>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</si>
  <si>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</si>
  <si>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</si>
  <si>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</si>
  <si>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</si>
  <si>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</si>
  <si>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</si>
  <si>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</si>
  <si>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</si>
  <si>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</si>
  <si>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</si>
  <si>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</si>
  <si>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</si>
  <si>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</si>
  <si>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</si>
  <si>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</si>
  <si>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</si>
  <si>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</si>
  <si>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</si>
  <si>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</si>
  <si>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</si>
  <si>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</si>
  <si>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</si>
  <si>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</si>
  <si>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</si>
  <si>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</si>
  <si>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</si>
  <si>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</si>
  <si>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</si>
  <si>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</si>
  <si>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</si>
  <si>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</si>
  <si>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</si>
  <si>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</si>
  <si>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</si>
  <si>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</si>
  <si>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</si>
  <si>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</si>
  <si>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</si>
  <si>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</si>
  <si>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</si>
  <si>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</si>
  <si>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</si>
  <si>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</si>
  <si>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</si>
  <si>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</si>
  <si>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</si>
  <si>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</si>
  <si>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</si>
  <si>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</si>
  <si>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</si>
  <si>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</si>
  <si>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</si>
  <si>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</si>
  <si>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</si>
  <si>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</si>
  <si>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</si>
  <si>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</si>
  <si>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</si>
  <si>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</si>
  <si>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</si>
  <si>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</si>
  <si>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</si>
  <si>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</si>
  <si>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</si>
  <si>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</si>
  <si>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</si>
  <si>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</si>
  <si>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</si>
  <si>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</si>
  <si>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</si>
  <si>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</si>
  <si>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</si>
  <si>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</si>
  <si>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</si>
  <si>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</si>
  <si>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</si>
  <si>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</si>
  <si>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</si>
  <si>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</si>
  <si>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</si>
  <si>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</si>
  <si>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</si>
  <si>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</si>
  <si>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</si>
  <si>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</si>
  <si>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</si>
  <si>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</si>
  <si>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</si>
  <si>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</si>
  <si>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</si>
  <si>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</si>
  <si>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</si>
  <si>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</si>
  <si>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</si>
  <si>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</si>
  <si>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</si>
  <si>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</si>
  <si>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</si>
  <si>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</si>
  <si>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</si>
  <si>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</si>
  <si>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</si>
  <si>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</si>
  <si>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</si>
  <si>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</si>
  <si>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</si>
  <si>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</si>
  <si>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</si>
  <si>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</si>
  <si>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</si>
  <si>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</si>
  <si>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</si>
  <si>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</si>
  <si>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</si>
  <si>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</si>
  <si>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</si>
  <si>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</si>
  <si>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</si>
  <si>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</si>
  <si>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</si>
  <si>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</si>
  <si>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</si>
  <si>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</si>
  <si>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</si>
  <si>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</si>
  <si>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</si>
  <si>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</si>
  <si>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</si>
  <si>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</si>
  <si>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</si>
  <si>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</si>
  <si>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</si>
  <si>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</si>
  <si>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</si>
  <si>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</si>
  <si>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</si>
  <si>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</si>
  <si>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</si>
  <si>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</si>
  <si>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</si>
  <si>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</si>
  <si>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</si>
  <si>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</si>
  <si>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</si>
  <si>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</si>
  <si>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</si>
  <si>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</si>
  <si>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</si>
  <si>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</si>
  <si>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</si>
  <si>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</si>
  <si>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</si>
  <si>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</si>
  <si>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</si>
  <si>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</si>
  <si>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</si>
  <si>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</si>
  <si>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</si>
  <si>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</si>
  <si>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</si>
  <si>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</si>
  <si>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</si>
  <si>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</si>
  <si>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</si>
  <si>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</si>
  <si>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</si>
  <si>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</si>
  <si>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</si>
  <si>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</si>
  <si>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</si>
  <si>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</si>
  <si>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</si>
  <si>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</si>
  <si>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</si>
  <si>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</si>
  <si>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</si>
  <si>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</si>
  <si>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</si>
  <si>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</si>
  <si>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</si>
  <si>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</si>
  <si>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</si>
  <si>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</si>
  <si>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</si>
  <si>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</si>
  <si>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</si>
  <si>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</si>
  <si>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</si>
  <si>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</si>
  <si>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</si>
  <si>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</si>
  <si>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</si>
  <si>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</si>
  <si>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</si>
  <si>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</si>
  <si>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</si>
  <si>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</si>
  <si>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</si>
  <si>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</si>
  <si>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</si>
  <si>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</si>
  <si>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</si>
  <si>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</si>
  <si>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</si>
  <si>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</si>
  <si>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</si>
  <si>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</si>
  <si>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</si>
  <si>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</si>
  <si>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</si>
  <si>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</si>
  <si>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</si>
  <si>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</si>
  <si>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</si>
  <si>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</si>
  <si>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</si>
  <si>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</si>
  <si>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</si>
  <si>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</si>
  <si>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</si>
  <si>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</si>
  <si>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</si>
  <si>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</si>
  <si>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</si>
  <si>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</si>
  <si>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</si>
  <si>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</si>
  <si>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</si>
  <si>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</si>
  <si>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</si>
  <si>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</si>
  <si>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</si>
  <si>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</si>
  <si>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</si>
  <si>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</si>
  <si>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</si>
  <si>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</si>
  <si>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</si>
  <si>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</si>
  <si>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</si>
  <si>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</si>
  <si>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</si>
  <si>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</si>
  <si>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</si>
  <si>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</si>
  <si>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</si>
  <si>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</si>
  <si>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</si>
  <si>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</si>
  <si>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</si>
  <si>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</si>
  <si>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</si>
  <si>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</si>
  <si>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</si>
  <si>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</si>
  <si>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</si>
  <si>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</si>
  <si>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</si>
  <si>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</si>
  <si>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</si>
  <si>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</si>
  <si>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</si>
  <si>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</si>
  <si>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</si>
  <si>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</si>
  <si>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</si>
  <si>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</si>
  <si>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</si>
  <si>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</si>
  <si>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</si>
  <si>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</si>
  <si>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</si>
  <si>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</si>
  <si>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</si>
  <si>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</si>
  <si>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</si>
  <si>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</si>
  <si>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</si>
  <si>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</si>
  <si>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</si>
  <si>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</si>
  <si>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</si>
  <si>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</si>
  <si>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</si>
  <si>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</si>
  <si>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</si>
  <si>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</si>
  <si>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</si>
  <si>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</si>
  <si>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</si>
  <si>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</si>
  <si>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</si>
  <si>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</si>
  <si>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</si>
  <si>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</si>
  <si>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</si>
  <si>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</si>
  <si>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</si>
  <si>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</si>
  <si>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</si>
  <si>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</si>
  <si>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</si>
  <si>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</si>
  <si>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</si>
  <si>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</si>
  <si>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</si>
  <si>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</si>
  <si>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</si>
  <si>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</si>
  <si>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</si>
  <si>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</si>
  <si>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</si>
  <si>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</si>
  <si>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</si>
  <si>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</si>
  <si>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</si>
  <si>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</si>
  <si>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</si>
  <si>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</si>
  <si>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</si>
  <si>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</si>
  <si>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</si>
  <si>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</si>
  <si>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</si>
  <si>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</si>
  <si>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</si>
  <si>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</si>
  <si>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</si>
  <si>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</si>
  <si>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</si>
  <si>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</si>
  <si>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</si>
  <si>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</si>
  <si>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</si>
  <si>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</si>
  <si>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</si>
  <si>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</si>
  <si>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</si>
  <si>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</si>
  <si>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</si>
  <si>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</si>
  <si>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</si>
  <si>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</si>
  <si>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</si>
  <si>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</si>
  <si>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</si>
  <si>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</si>
  <si>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</si>
  <si>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</si>
  <si>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</si>
  <si>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</si>
  <si>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</si>
  <si>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</si>
  <si>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</si>
  <si>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</si>
  <si>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</si>
  <si>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</si>
  <si>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</si>
  <si>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</si>
  <si>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</si>
  <si>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</si>
  <si>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</si>
  <si>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</si>
  <si>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</si>
  <si>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</si>
  <si>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</si>
  <si>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</si>
  <si>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</si>
  <si>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</si>
  <si>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</si>
  <si>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</si>
  <si>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</si>
  <si>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</si>
  <si>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</si>
  <si>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</si>
  <si>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</si>
  <si>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</si>
  <si>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</si>
  <si>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</si>
  <si>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</si>
  <si>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</si>
  <si>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</si>
  <si>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</si>
  <si>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</si>
  <si>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</si>
  <si>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</si>
  <si>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</si>
  <si>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</si>
  <si>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</si>
  <si>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</si>
  <si>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</si>
  <si>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</si>
  <si>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</si>
  <si>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</si>
  <si>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</si>
  <si>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</si>
  <si>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</si>
  <si>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</si>
  <si>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</si>
  <si>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</si>
  <si>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</si>
  <si>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</si>
  <si>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</si>
  <si>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</si>
  <si>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</si>
  <si>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</si>
  <si>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</si>
  <si>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</si>
  <si>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</si>
  <si>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</si>
  <si>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</si>
  <si>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</si>
  <si>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</si>
  <si>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</si>
  <si>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</si>
  <si>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</si>
  <si>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</si>
  <si>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</si>
  <si>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</si>
  <si>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</si>
  <si>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</si>
  <si>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</si>
  <si>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</si>
  <si>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</si>
  <si>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</si>
  <si>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</si>
  <si>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</si>
  <si>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</si>
  <si>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</si>
  <si>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</si>
  <si>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</si>
  <si>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</si>
  <si>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</si>
  <si>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</si>
  <si>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</si>
  <si>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</si>
  <si>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</si>
  <si>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</si>
  <si>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</si>
  <si>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</si>
  <si>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</si>
  <si>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</si>
  <si>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</si>
  <si>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</si>
  <si>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</si>
  <si>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</si>
  <si>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</si>
  <si>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</si>
  <si>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</si>
  <si>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</si>
  <si>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</si>
  <si>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</si>
  <si>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</si>
  <si>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</si>
  <si>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</si>
  <si>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</si>
  <si>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</si>
  <si>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</si>
  <si>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</si>
  <si>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</si>
  <si>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</si>
  <si>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</si>
  <si>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</si>
  <si>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</si>
  <si>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</si>
  <si>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</si>
  <si>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</si>
  <si>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</si>
  <si>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</si>
  <si>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</si>
  <si>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</si>
  <si>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</si>
  <si>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</si>
  <si>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</si>
  <si>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</si>
  <si>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</si>
  <si>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</si>
  <si>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</si>
  <si>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</si>
  <si>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</si>
  <si>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</si>
  <si>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</si>
  <si>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</si>
  <si>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</si>
  <si>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</si>
  <si>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</si>
  <si>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</si>
  <si>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</si>
  <si>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</si>
  <si>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</si>
  <si>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</si>
  <si>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</si>
  <si>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</si>
  <si>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</si>
  <si>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</si>
  <si>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</si>
  <si>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</si>
  <si>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</si>
  <si>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</si>
  <si>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</si>
  <si>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</si>
  <si>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</si>
  <si>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</si>
  <si>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</si>
  <si>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</si>
  <si>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</si>
  <si>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</si>
  <si>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</si>
  <si>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</si>
  <si>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</si>
  <si>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</si>
  <si>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</si>
  <si>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</si>
  <si>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</si>
  <si>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</si>
  <si>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</si>
  <si>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</si>
  <si>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</si>
  <si>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</si>
  <si>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</si>
  <si>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</si>
  <si>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</si>
  <si>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</si>
  <si>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</si>
  <si>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</si>
  <si>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</si>
  <si>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</si>
  <si>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</si>
  <si>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</si>
  <si>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</si>
  <si>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</si>
  <si>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</si>
  <si>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</si>
  <si>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</si>
  <si>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</si>
  <si>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</si>
  <si>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</si>
  <si>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</si>
  <si>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</si>
  <si>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</si>
  <si>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</si>
  <si>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</si>
  <si>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</si>
  <si>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</si>
  <si>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</si>
  <si>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</si>
  <si>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</si>
  <si>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</si>
  <si>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</si>
  <si>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</si>
  <si>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</si>
  <si>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</si>
  <si>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</si>
  <si>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</si>
  <si>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</si>
  <si>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</si>
  <si>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</si>
  <si>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</si>
  <si>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</si>
  <si>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</si>
  <si>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</si>
  <si>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</si>
  <si>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</si>
  <si>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</si>
  <si>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</si>
  <si>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</si>
  <si>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</si>
  <si>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</si>
  <si>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</si>
  <si>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</si>
  <si>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</si>
  <si>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</si>
  <si>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</si>
  <si>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</si>
  <si>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</si>
  <si>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</si>
  <si>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</si>
  <si>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</si>
  <si>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</si>
  <si>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</si>
  <si>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</si>
  <si>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</si>
  <si>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</si>
  <si>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</si>
  <si>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</si>
  <si>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</si>
  <si>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</si>
  <si>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</si>
  <si>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</si>
  <si>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</si>
  <si>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</si>
  <si>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</si>
  <si>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</si>
  <si>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</si>
  <si>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</si>
  <si>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</si>
  <si>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</si>
  <si>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</si>
  <si>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</si>
  <si>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</si>
  <si>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</si>
  <si>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</si>
  <si>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</si>
  <si>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</si>
  <si>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</si>
  <si>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</si>
  <si>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</si>
  <si>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</si>
  <si>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</si>
  <si>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</si>
  <si>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</si>
  <si>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</si>
  <si>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</si>
  <si>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</si>
  <si>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</si>
  <si>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</si>
  <si>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</si>
  <si>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</si>
  <si>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</si>
  <si>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</si>
  <si>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</si>
  <si>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</si>
  <si>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</si>
  <si>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</si>
  <si>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</si>
  <si>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</si>
  <si>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</si>
  <si>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</si>
  <si>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</si>
  <si>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</si>
  <si>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</si>
  <si>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</si>
  <si>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</si>
  <si>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</si>
  <si>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</si>
  <si>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</si>
  <si>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</si>
  <si>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</si>
  <si>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</si>
  <si>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</si>
  <si>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</si>
  <si>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</si>
  <si>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</si>
  <si>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</si>
  <si>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</si>
  <si>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</si>
  <si>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</si>
  <si>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</si>
  <si>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</si>
  <si>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</si>
  <si>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</si>
  <si>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</si>
  <si>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</si>
  <si>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</si>
  <si>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</si>
  <si>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</si>
  <si>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</si>
  <si>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</si>
  <si>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</si>
  <si>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</si>
  <si>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</si>
  <si>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</si>
  <si>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</si>
  <si>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</si>
  <si>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</si>
  <si>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</si>
  <si>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</si>
  <si>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</si>
  <si>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</si>
  <si>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</si>
  <si>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</si>
  <si>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</si>
  <si>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</si>
  <si>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</si>
  <si>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</si>
  <si>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</si>
  <si>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</si>
  <si>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</si>
  <si>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</si>
  <si>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</si>
  <si>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</si>
  <si>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</si>
  <si>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</si>
  <si>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</si>
  <si>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</si>
  <si>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</si>
  <si>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</si>
  <si>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</si>
  <si>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</si>
  <si>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</si>
  <si>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</si>
  <si>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</si>
  <si>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</si>
  <si>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</si>
  <si>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</si>
  <si>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</si>
  <si>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</si>
  <si>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</si>
  <si>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</si>
  <si>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</si>
  <si>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</si>
  <si>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</si>
  <si>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</si>
  <si>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</si>
  <si>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</si>
  <si>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</si>
  <si>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</si>
  <si>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</si>
  <si>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</si>
  <si>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</si>
  <si>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</si>
  <si>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</si>
  <si>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</si>
  <si>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</si>
  <si>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</si>
  <si>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</si>
  <si>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</si>
  <si>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</si>
  <si>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</si>
  <si>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</si>
  <si>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</si>
  <si>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</si>
  <si>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</si>
  <si>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</si>
  <si>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</si>
  <si>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</si>
  <si>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</si>
  <si>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</si>
  <si>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</si>
  <si>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</si>
  <si>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</si>
  <si>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</si>
  <si>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</si>
  <si>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</si>
  <si>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</si>
  <si>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</si>
  <si>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</si>
  <si>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</si>
  <si>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</si>
  <si>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</si>
  <si>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</si>
  <si>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</si>
  <si>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</si>
  <si>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</si>
  <si>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</si>
  <si>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</si>
  <si>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</si>
  <si>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</si>
  <si>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</si>
  <si>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</si>
  <si>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</si>
  <si>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</si>
  <si>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</si>
  <si>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</si>
  <si>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</si>
  <si>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</si>
  <si>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</si>
  <si>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</si>
  <si>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</si>
  <si>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</si>
  <si>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</si>
  <si>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</si>
  <si>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</si>
  <si>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</si>
  <si>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</si>
  <si>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</si>
  <si>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</si>
  <si>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</si>
  <si>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</si>
  <si>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</si>
  <si>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</si>
  <si>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</si>
  <si>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</si>
  <si>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</si>
  <si>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</si>
  <si>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</si>
  <si>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</si>
  <si>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</si>
  <si>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</si>
  <si>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</si>
  <si>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</si>
  <si>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</si>
  <si>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</si>
  <si>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</si>
  <si>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</si>
  <si>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</si>
  <si>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</si>
  <si>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</si>
  <si>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</si>
  <si>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</si>
  <si>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</si>
  <si>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</si>
  <si>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</si>
  <si>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</si>
  <si>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</si>
  <si>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</si>
  <si>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</si>
  <si>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</si>
  <si>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</si>
  <si>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</si>
  <si>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</si>
  <si>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</si>
  <si>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</si>
  <si>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</si>
  <si>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</si>
  <si>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</si>
  <si>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</si>
  <si>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</si>
  <si>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</si>
  <si>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</si>
  <si>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</si>
  <si>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</si>
  <si>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</si>
  <si>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</si>
  <si>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</si>
  <si>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</si>
  <si>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</si>
  <si>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</si>
  <si>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</si>
  <si>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</si>
  <si>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</si>
  <si>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</si>
  <si>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</si>
  <si>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</si>
  <si>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</si>
  <si>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</si>
  <si>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</si>
  <si>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</si>
  <si>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</si>
  <si>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</si>
  <si>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</si>
  <si>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</si>
  <si>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</si>
  <si>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</si>
  <si>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</si>
  <si>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</si>
  <si>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</si>
  <si>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</si>
  <si>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</si>
  <si>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</si>
  <si>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</si>
  <si>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</si>
  <si>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</si>
  <si>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</si>
  <si>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</si>
  <si>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</si>
  <si>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</si>
  <si>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</si>
  <si>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</si>
  <si>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</si>
  <si>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</si>
  <si>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</si>
  <si>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</si>
  <si>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</si>
  <si>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</si>
  <si>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</si>
  <si>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</si>
  <si>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</si>
  <si>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</si>
  <si>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</si>
  <si>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</si>
  <si>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</si>
  <si>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</si>
  <si>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</si>
  <si>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</si>
  <si>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</si>
  <si>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</si>
  <si>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</si>
  <si>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</si>
  <si>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</si>
  <si>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</si>
  <si>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</si>
  <si>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</si>
  <si>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</si>
  <si>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</si>
  <si>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</si>
  <si>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</si>
  <si>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</si>
  <si>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</si>
  <si>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</si>
  <si>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</si>
  <si>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</si>
  <si>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</si>
  <si>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</si>
  <si>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</si>
  <si>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</si>
  <si>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</si>
  <si>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</si>
  <si>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</si>
  <si>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</si>
  <si>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</si>
  <si>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</si>
  <si>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</si>
  <si>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</si>
  <si>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</si>
  <si>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</si>
  <si>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</si>
  <si>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</si>
  <si>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</si>
  <si>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</si>
  <si>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</si>
  <si>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</si>
  <si>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</si>
  <si>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</si>
  <si>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</si>
  <si>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</si>
  <si>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</si>
  <si>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</si>
  <si>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</si>
  <si>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</si>
  <si>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</si>
  <si>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</si>
  <si>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</si>
  <si>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</si>
  <si>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</si>
  <si>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</si>
  <si>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</si>
  <si>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</si>
  <si>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</si>
  <si>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</si>
  <si>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</si>
  <si>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</si>
  <si>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</si>
  <si>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</si>
  <si>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</si>
  <si>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</si>
  <si>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</si>
  <si>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</si>
  <si>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</si>
  <si>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</si>
  <si>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</si>
  <si>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</si>
  <si>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</si>
  <si>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</si>
  <si>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</si>
  <si>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</si>
  <si>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</si>
  <si>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</si>
  <si>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</si>
  <si>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</si>
  <si>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</si>
  <si>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</si>
  <si>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</si>
  <si>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</si>
  <si>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</si>
  <si>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</si>
  <si>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</si>
  <si>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</si>
  <si>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</si>
  <si>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</si>
  <si>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</si>
  <si>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</si>
  <si>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</si>
  <si>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</si>
  <si>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</si>
  <si>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</si>
  <si>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</si>
  <si>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</si>
  <si>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</si>
  <si>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</si>
  <si>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</si>
  <si>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</si>
  <si>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</si>
  <si>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</si>
  <si>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</si>
  <si>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</si>
  <si>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</si>
  <si>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</si>
  <si>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</si>
  <si>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</si>
  <si>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</si>
  <si>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</si>
  <si>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</si>
  <si>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</si>
  <si>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</si>
  <si>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</si>
  <si>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</si>
  <si>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</si>
  <si>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</si>
  <si>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</si>
  <si>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</si>
  <si>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</si>
  <si>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</si>
  <si>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</si>
  <si>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</si>
  <si>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</si>
  <si>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</si>
  <si>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</si>
  <si>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</si>
  <si>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</si>
  <si>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</si>
  <si>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</si>
  <si>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</si>
  <si>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</si>
  <si>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</si>
  <si>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</si>
  <si>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</si>
  <si>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</si>
  <si>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</si>
  <si>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</si>
  <si>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</si>
  <si>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</si>
  <si>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</si>
  <si>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</si>
  <si>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</si>
  <si>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</si>
  <si>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</si>
  <si>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</si>
  <si>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</si>
  <si>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</si>
  <si>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</si>
  <si>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</si>
  <si>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</si>
  <si>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</si>
  <si>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</si>
  <si>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</si>
  <si>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</si>
  <si>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</si>
  <si>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</si>
  <si>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</si>
  <si>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</si>
  <si>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</si>
  <si>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</si>
  <si>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</si>
  <si>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</si>
  <si>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</si>
  <si>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</si>
  <si>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</si>
  <si>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</si>
  <si>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</si>
  <si>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</si>
  <si>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</si>
  <si>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</si>
  <si>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</si>
  <si>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</si>
  <si>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</si>
  <si>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</si>
  <si>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</si>
  <si>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</si>
  <si>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</si>
  <si>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</si>
  <si>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</si>
  <si>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</si>
  <si>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</si>
  <si>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</si>
  <si>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</si>
  <si>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</si>
  <si>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</si>
  <si>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</si>
  <si>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</si>
  <si>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</si>
  <si>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</si>
  <si>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</si>
  <si>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</si>
  <si>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</si>
  <si>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</si>
  <si>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</si>
  <si>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</si>
  <si>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</si>
  <si>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</si>
  <si>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</si>
  <si>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</si>
  <si>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</si>
  <si>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</si>
  <si>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</si>
  <si>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</si>
  <si>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</si>
  <si>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</si>
  <si>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</si>
  <si>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</si>
  <si>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</si>
  <si>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</si>
  <si>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</si>
  <si>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</si>
  <si>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</si>
  <si>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</si>
  <si>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</si>
  <si>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</si>
  <si>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</si>
  <si>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</si>
  <si>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</si>
  <si>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</si>
  <si>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</si>
  <si>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</si>
  <si>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</si>
  <si>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</si>
  <si>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</si>
  <si>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</si>
  <si>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</si>
  <si>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</si>
  <si>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</si>
  <si>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</si>
  <si>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</si>
  <si>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</si>
  <si>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</si>
  <si>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</si>
  <si>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</si>
  <si>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</si>
  <si>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</si>
  <si>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</si>
  <si>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</si>
  <si>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</si>
  <si>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</si>
  <si>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</si>
  <si>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</si>
  <si>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</si>
  <si>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</si>
  <si>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</si>
  <si>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</si>
  <si>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</si>
  <si>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</si>
  <si>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</si>
  <si>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</si>
  <si>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</si>
  <si>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</si>
  <si>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</si>
  <si>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</si>
  <si>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</si>
  <si>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</si>
  <si>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</si>
  <si>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</si>
  <si>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</si>
  <si>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</si>
  <si>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</si>
  <si>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</si>
  <si>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</si>
  <si>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</si>
  <si>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</si>
  <si>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</si>
  <si>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</si>
  <si>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</si>
  <si>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</si>
  <si>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</si>
  <si>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</si>
  <si>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</si>
  <si>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</si>
  <si>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</si>
  <si>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</si>
  <si>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</si>
  <si>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</si>
  <si>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</si>
  <si>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</si>
  <si>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</si>
  <si>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</si>
  <si>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</si>
  <si>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</si>
  <si>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</si>
  <si>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</si>
  <si>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</si>
  <si>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</si>
  <si>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</si>
  <si>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</si>
  <si>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</si>
  <si>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</si>
  <si>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</si>
  <si>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</si>
  <si>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</si>
  <si>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</si>
  <si>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</si>
  <si>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</si>
  <si>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displey</t>
  </si>
  <si>
    <t>order</t>
  </si>
  <si>
    <t>qty</t>
  </si>
  <si>
    <t>amt</t>
  </si>
  <si>
    <t>avg rating</t>
  </si>
  <si>
    <t>avg day</t>
  </si>
  <si>
    <t>Row Labels</t>
  </si>
  <si>
    <t>Grand Total</t>
  </si>
  <si>
    <t>Unknown</t>
  </si>
  <si>
    <t>Male</t>
  </si>
  <si>
    <t>Female</t>
  </si>
  <si>
    <t>Other</t>
  </si>
  <si>
    <t>Column Labels</t>
  </si>
  <si>
    <t>6 to 10</t>
  </si>
  <si>
    <t>more than 10</t>
  </si>
  <si>
    <t>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</si>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</sst>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165" fontId="0" fillId="0" borderId="4" xfId="0" applyNumberFormat="1" applyBorder="1"/>
    <xf numFmtId="165" fontId="0" fillId="0" borderId="5" xfId="0" applyNumberFormat="1" applyBorder="1"/>
    <xf numFmtId="0" fontId="0" fillId="0" borderId="6" xfId="0" applyBorder="1"/>
    <xf numFmtId="165" fontId="0" fillId="0" borderId="7" xfId="0" applyNumberFormat="1" applyBorder="1"/>
    <xf numFmtId="165" fontId="0" fillId="0" borderId="8" xfId="0" applyNumberFormat="1" applyBorder="1"/>
    <xf numFmtId="0" fontId="0" fillId="0" borderId="9" xfId="0" applyBorder="1"/>
    <xf numFmtId="0" fontId="0" fillId="0" borderId="0" xfId="0" applyNumberFormat="1"/>
  </cellXfs>
  <cellStyles count="2">
    <cellStyle name="Hyperlink" xfId="1" builtinId="8"/>
    <cellStyle name="Normal" xfId="0" builtinId="0"/>
  </cellStyles>
  <dxfs count="6">
    <dxf>
      <numFmt numFmtId="0" formatCode="General"/>
    </dxf>
    <dxf>
      <numFmt numFmtId="0" formatCode="General"/>
    </dxf>
    <dxf>
      <numFmt numFmtId="0" formatCode="General"/>
    </dxf>
    <dxf>
      <numFmt numFmtId="20" formatCode="d\-mmm\-yy"/>
    </dxf>
    <dxf>
      <numFmt numFmtId="20" formatCode="d\-mmm\-yy"/>
    </dxf>
    <dxf>
      <numFmt numFmtId="164" formatCode="&quot;$&quot;#,##0"/>
    </dxf>
  </dxfs>
  <tableStyles count="0" defaultTableStyle="TableStyleMedium2" defaultPivotStyle="PivotStyleLight16"/>
  <colors>
    <mruColors>
      <color rgb="FFFFFFFF"/>
      <color rgb="FF98F5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completed.xlsx]piv!qty</c:name>
    <c:fmtId val="2"/>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piv!$B$7</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C2B8-4FBE-849E-A436DA16203D}"/>
            </c:ext>
          </c:extLst>
        </c:ser>
        <c:dLbls>
          <c:showLegendKey val="0"/>
          <c:showVal val="0"/>
          <c:showCatName val="0"/>
          <c:showSerName val="0"/>
          <c:showPercent val="0"/>
          <c:showBubbleSize val="0"/>
        </c:dLbls>
        <c:marker val="1"/>
        <c:smooth val="0"/>
        <c:axId val="319151951"/>
        <c:axId val="319148111"/>
      </c:lineChart>
      <c:lineChart>
        <c:grouping val="standard"/>
        <c:varyColors val="0"/>
        <c:ser>
          <c:idx val="1"/>
          <c:order val="1"/>
          <c:tx>
            <c:strRef>
              <c:f>piv!$C$7</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piv!$C$8:$C$21</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3-C2B8-4FBE-849E-A436DA16203D}"/>
            </c:ext>
          </c:extLst>
        </c:ser>
        <c:dLbls>
          <c:showLegendKey val="0"/>
          <c:showVal val="0"/>
          <c:showCatName val="0"/>
          <c:showSerName val="0"/>
          <c:showPercent val="0"/>
          <c:showBubbleSize val="0"/>
        </c:dLbls>
        <c:marker val="1"/>
        <c:smooth val="0"/>
        <c:axId val="319142831"/>
        <c:axId val="319147151"/>
      </c:lineChart>
      <c:catAx>
        <c:axId val="3191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48111"/>
        <c:crosses val="autoZero"/>
        <c:auto val="1"/>
        <c:lblAlgn val="ctr"/>
        <c:lblOffset val="100"/>
        <c:noMultiLvlLbl val="0"/>
      </c:catAx>
      <c:valAx>
        <c:axId val="31914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51951"/>
        <c:crosses val="autoZero"/>
        <c:crossBetween val="between"/>
      </c:valAx>
      <c:valAx>
        <c:axId val="319147151"/>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42831"/>
        <c:crosses val="max"/>
        <c:crossBetween val="between"/>
      </c:valAx>
      <c:catAx>
        <c:axId val="319142831"/>
        <c:scaling>
          <c:orientation val="minMax"/>
        </c:scaling>
        <c:delete val="1"/>
        <c:axPos val="b"/>
        <c:numFmt formatCode="General" sourceLinked="1"/>
        <c:majorTickMark val="out"/>
        <c:minorTickMark val="none"/>
        <c:tickLblPos val="nextTo"/>
        <c:crossAx val="3191471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completed.xlsx]piv!qty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Last</a:t>
            </a:r>
            <a:r>
              <a:rPr lang="en-US" sz="1000" b="1" baseline="0"/>
              <a:t> 13 Week Trends - Qty &amp; Amount</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piv!$B$7</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9E9-4728-BFB8-222E14BFCAC0}"/>
            </c:ext>
          </c:extLst>
        </c:ser>
        <c:dLbls>
          <c:showLegendKey val="0"/>
          <c:showVal val="0"/>
          <c:showCatName val="0"/>
          <c:showSerName val="0"/>
          <c:showPercent val="0"/>
          <c:showBubbleSize val="0"/>
        </c:dLbls>
        <c:marker val="1"/>
        <c:smooth val="0"/>
        <c:axId val="319151951"/>
        <c:axId val="319148111"/>
      </c:lineChart>
      <c:lineChart>
        <c:grouping val="standard"/>
        <c:varyColors val="0"/>
        <c:ser>
          <c:idx val="1"/>
          <c:order val="1"/>
          <c:tx>
            <c:strRef>
              <c:f>piv!$C$7</c:f>
              <c:strCache>
                <c:ptCount val="1"/>
                <c:pt idx="0">
                  <c:v>Sum of Amount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cat>
            <c:strRef>
              <c:f>piv!$A$8:$A$21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piv!$C$8:$C$21</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9E9-4728-BFB8-222E14BFCAC0}"/>
            </c:ext>
          </c:extLst>
        </c:ser>
        <c:dLbls>
          <c:showLegendKey val="0"/>
          <c:showVal val="0"/>
          <c:showCatName val="0"/>
          <c:showSerName val="0"/>
          <c:showPercent val="0"/>
          <c:showBubbleSize val="0"/>
        </c:dLbls>
        <c:marker val="1"/>
        <c:smooth val="0"/>
        <c:axId val="319142831"/>
        <c:axId val="319147151"/>
      </c:lineChart>
      <c:catAx>
        <c:axId val="3191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48111"/>
        <c:crosses val="autoZero"/>
        <c:auto val="1"/>
        <c:lblAlgn val="ctr"/>
        <c:lblOffset val="100"/>
        <c:noMultiLvlLbl val="0"/>
      </c:catAx>
      <c:valAx>
        <c:axId val="31914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51951"/>
        <c:crosses val="autoZero"/>
        <c:crossBetween val="between"/>
      </c:valAx>
      <c:valAx>
        <c:axId val="319147151"/>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42831"/>
        <c:crosses val="max"/>
        <c:crossBetween val="between"/>
      </c:valAx>
      <c:catAx>
        <c:axId val="319142831"/>
        <c:scaling>
          <c:orientation val="minMax"/>
        </c:scaling>
        <c:delete val="1"/>
        <c:axPos val="b"/>
        <c:numFmt formatCode="General" sourceLinked="1"/>
        <c:majorTickMark val="out"/>
        <c:minorTickMark val="none"/>
        <c:tickLblPos val="nextTo"/>
        <c:crossAx val="3191471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completed.xlsx]Sheet3!count TX</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Hoe</a:t>
            </a:r>
            <a:r>
              <a:rPr lang="en-US" sz="1000" b="1" baseline="0"/>
              <a:t> many they buy?</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0" tIns="1905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0" tIns="1905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1</c:v>
                </c:pt>
                <c:pt idx="1">
                  <c:v>2</c:v>
                </c:pt>
                <c:pt idx="2">
                  <c:v>3</c:v>
                </c:pt>
                <c:pt idx="3">
                  <c:v>4</c:v>
                </c:pt>
                <c:pt idx="4">
                  <c:v>5</c:v>
                </c:pt>
                <c:pt idx="5">
                  <c:v>6 to 10</c:v>
                </c:pt>
                <c:pt idx="6">
                  <c:v>more than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422-418C-8CBD-270F456B276D}"/>
            </c:ext>
          </c:extLst>
        </c:ser>
        <c:dLbls>
          <c:showLegendKey val="0"/>
          <c:showVal val="0"/>
          <c:showCatName val="0"/>
          <c:showSerName val="0"/>
          <c:showPercent val="0"/>
          <c:showBubbleSize val="0"/>
        </c:dLbls>
        <c:gapWidth val="10"/>
        <c:overlap val="8"/>
        <c:axId val="319160111"/>
        <c:axId val="319161551"/>
      </c:barChart>
      <c:catAx>
        <c:axId val="31916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61551"/>
        <c:crosses val="autoZero"/>
        <c:auto val="1"/>
        <c:lblAlgn val="ctr"/>
        <c:lblOffset val="100"/>
        <c:noMultiLvlLbl val="0"/>
      </c:catAx>
      <c:valAx>
        <c:axId val="319161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91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completed.xlsx]Sheet1!YES</c:name>
    <c:fmtId val="19"/>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Which</a:t>
            </a:r>
            <a:r>
              <a:rPr lang="en-US" sz="1000" b="1" baseline="0"/>
              <a:t> Product Are Popular?</a:t>
            </a:r>
            <a:r>
              <a:rPr lang="en-US" sz="1000" baseline="0"/>
              <a:t>Breakdown by Gender</a:t>
            </a:r>
            <a:endParaRPr lang="en-US" sz="1000"/>
          </a:p>
        </c:rich>
      </c:tx>
      <c:layout>
        <c:manualLayout>
          <c:xMode val="edge"/>
          <c:yMode val="edge"/>
          <c:x val="3.4449052964197431E-2"/>
          <c:y val="2.316189679520810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72588832487302E-2"/>
          <c:y val="0.14226626287098729"/>
          <c:w val="0.63236979895279588"/>
          <c:h val="0.79004142943670508"/>
        </c:manualLayout>
      </c:layout>
      <c:barChart>
        <c:barDir val="bar"/>
        <c:grouping val="stacked"/>
        <c:varyColors val="0"/>
        <c:ser>
          <c:idx val="0"/>
          <c:order val="0"/>
          <c:tx>
            <c:strRef>
              <c:f>Sheet1!$B$3:$B$4</c:f>
              <c:strCache>
                <c:ptCount val="1"/>
                <c:pt idx="0">
                  <c:v>Female</c:v>
                </c:pt>
              </c:strCache>
            </c:strRef>
          </c:tx>
          <c:spPr>
            <a:solidFill>
              <a:schemeClr val="accent1"/>
            </a:solidFill>
            <a:ln>
              <a:noFill/>
            </a:ln>
            <a:effectLst/>
          </c:spPr>
          <c:invertIfNegative val="0"/>
          <c:cat>
            <c:strRef>
              <c:f>Sheet1!$A$5:$A$25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061-4892-9FF5-0F6301A39703}"/>
            </c:ext>
          </c:extLst>
        </c:ser>
        <c:ser>
          <c:idx val="1"/>
          <c:order val="1"/>
          <c:tx>
            <c:strRef>
              <c:f>Sheet1!$C$3:$C$4</c:f>
              <c:strCache>
                <c:ptCount val="1"/>
                <c:pt idx="0">
                  <c:v>Male</c:v>
                </c:pt>
              </c:strCache>
            </c:strRef>
          </c:tx>
          <c:spPr>
            <a:solidFill>
              <a:schemeClr val="accent2"/>
            </a:solidFill>
            <a:ln>
              <a:noFill/>
            </a:ln>
            <a:effectLst/>
          </c:spPr>
          <c:invertIfNegative val="0"/>
          <c:cat>
            <c:strRef>
              <c:f>Sheet1!$A$5:$A$25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8061-4892-9FF5-0F6301A39703}"/>
            </c:ext>
          </c:extLst>
        </c:ser>
        <c:ser>
          <c:idx val="2"/>
          <c:order val="2"/>
          <c:tx>
            <c:strRef>
              <c:f>Sheet1!$D$3:$D$4</c:f>
              <c:strCache>
                <c:ptCount val="1"/>
                <c:pt idx="0">
                  <c:v>Other</c:v>
                </c:pt>
              </c:strCache>
            </c:strRef>
          </c:tx>
          <c:spPr>
            <a:solidFill>
              <a:schemeClr val="accent3"/>
            </a:solidFill>
            <a:ln>
              <a:noFill/>
            </a:ln>
            <a:effectLst/>
          </c:spPr>
          <c:invertIfNegative val="0"/>
          <c:cat>
            <c:strRef>
              <c:f>Sheet1!$A$5:$A$25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8061-4892-9FF5-0F6301A39703}"/>
            </c:ext>
          </c:extLst>
        </c:ser>
        <c:ser>
          <c:idx val="3"/>
          <c:order val="3"/>
          <c:tx>
            <c:strRef>
              <c:f>Sheet1!$E$3:$E$4</c:f>
              <c:strCache>
                <c:ptCount val="1"/>
                <c:pt idx="0">
                  <c:v>Unknown</c:v>
                </c:pt>
              </c:strCache>
            </c:strRef>
          </c:tx>
          <c:spPr>
            <a:solidFill>
              <a:schemeClr val="accent4"/>
            </a:solidFill>
            <a:ln>
              <a:noFill/>
            </a:ln>
            <a:effectLst/>
          </c:spPr>
          <c:invertIfNegative val="0"/>
          <c:cat>
            <c:strRef>
              <c:f>Sheet1!$A$5:$A$25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7-8061-4892-9FF5-0F6301A39703}"/>
            </c:ext>
          </c:extLst>
        </c:ser>
        <c:dLbls>
          <c:showLegendKey val="0"/>
          <c:showVal val="0"/>
          <c:showCatName val="0"/>
          <c:showSerName val="0"/>
          <c:showPercent val="0"/>
          <c:showBubbleSize val="0"/>
        </c:dLbls>
        <c:gapWidth val="150"/>
        <c:overlap val="100"/>
        <c:axId val="1200250288"/>
        <c:axId val="1200261328"/>
      </c:barChart>
      <c:catAx>
        <c:axId val="120025028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61328"/>
        <c:crosses val="autoZero"/>
        <c:auto val="1"/>
        <c:lblAlgn val="ctr"/>
        <c:lblOffset val="100"/>
        <c:noMultiLvlLbl val="0"/>
      </c:catAx>
      <c:valAx>
        <c:axId val="120026132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5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completed.xlsx]Sheet1!NO</c:name>
    <c:fmtId val="27"/>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9525">
            <a:solidFill>
              <a:schemeClr val="lt1"/>
            </a:solidFill>
          </a:ln>
          <a:effectLst/>
        </c:spPr>
      </c:pivotFmt>
      <c:pivotFmt>
        <c:idx val="2"/>
        <c:spPr>
          <a:solidFill>
            <a:schemeClr val="accent4"/>
          </a:solidFill>
          <a:ln w="9525">
            <a:solidFill>
              <a:schemeClr val="lt1"/>
            </a:solidFill>
          </a:ln>
          <a:effectLst/>
        </c:spPr>
        <c:dLbl>
          <c:idx val="0"/>
          <c:layout>
            <c:manualLayout>
              <c:x val="7.5120696869413056E-2"/>
              <c:y val="-0.10185157717008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9525">
            <a:solidFill>
              <a:schemeClr val="lt1"/>
            </a:solidFill>
          </a:ln>
          <a:effectLst/>
        </c:spPr>
        <c:dLbl>
          <c:idx val="0"/>
          <c:layout>
            <c:manualLayout>
              <c:x val="-0.13285039370078744"/>
              <c:y val="-3.6480520095308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9525">
            <a:solidFill>
              <a:schemeClr val="lt1"/>
            </a:solidFill>
          </a:ln>
          <a:effectLst/>
        </c:spPr>
      </c:pivotFmt>
      <c:pivotFmt>
        <c:idx val="5"/>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c:spPr>
        <c:dLbl>
          <c:idx val="0"/>
          <c:layout>
            <c:manualLayout>
              <c:x val="9.1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dLbl>
          <c:idx val="0"/>
          <c:layout>
            <c:manualLayout>
              <c:x val="-8.6111111111111124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9525">
            <a:solidFill>
              <a:schemeClr val="lt1"/>
            </a:solidFill>
          </a:ln>
          <a:effectLst/>
        </c:spPr>
        <c:dLbl>
          <c:idx val="0"/>
          <c:layout>
            <c:manualLayout>
              <c:x val="-0.13285039370078744"/>
              <c:y val="-3.6480520095308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9525">
            <a:solidFill>
              <a:schemeClr val="lt1"/>
            </a:solidFill>
          </a:ln>
          <a:effectLst/>
        </c:spPr>
        <c:dLbl>
          <c:idx val="0"/>
          <c:layout>
            <c:manualLayout>
              <c:x val="7.5120696869413056E-2"/>
              <c:y val="-0.10185157717008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9525">
            <a:solidFill>
              <a:schemeClr val="lt1"/>
            </a:solidFill>
          </a:ln>
          <a:effectLst/>
        </c:spPr>
        <c:dLbl>
          <c:idx val="0"/>
          <c:layout>
            <c:manualLayout>
              <c:x val="9.1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9525">
            <a:solidFill>
              <a:schemeClr val="lt1"/>
            </a:solidFill>
          </a:ln>
          <a:effectLst/>
        </c:spPr>
        <c:dLbl>
          <c:idx val="0"/>
          <c:layout>
            <c:manualLayout>
              <c:x val="-8.6111111111111124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9525">
            <a:solidFill>
              <a:schemeClr val="lt1"/>
            </a:solidFill>
          </a:ln>
          <a:effectLst/>
        </c:spPr>
        <c:dLbl>
          <c:idx val="0"/>
          <c:layout>
            <c:manualLayout>
              <c:x val="-0.13285039370078744"/>
              <c:y val="-3.648052009530876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9525">
            <a:solidFill>
              <a:schemeClr val="lt1"/>
            </a:solidFill>
          </a:ln>
          <a:effectLst/>
        </c:spPr>
        <c:dLbl>
          <c:idx val="0"/>
          <c:layout>
            <c:manualLayout>
              <c:x val="7.5120696869413056E-2"/>
              <c:y val="-0.1018515771700882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928728329559661"/>
          <c:y val="0.1286976451887176"/>
          <c:w val="0.6490493731202055"/>
          <c:h val="0.70999297623008395"/>
        </c:manualLayout>
      </c:layout>
      <c:doughnutChart>
        <c:varyColors val="1"/>
        <c:ser>
          <c:idx val="0"/>
          <c:order val="0"/>
          <c:tx>
            <c:strRef>
              <c:f>Sheet1!$I$3</c:f>
              <c:strCache>
                <c:ptCount val="1"/>
                <c:pt idx="0">
                  <c:v>Total</c:v>
                </c:pt>
              </c:strCache>
            </c:strRef>
          </c:tx>
          <c:spPr>
            <a:ln w="9525"/>
          </c:spPr>
          <c:dPt>
            <c:idx val="0"/>
            <c:bubble3D val="0"/>
            <c:spPr>
              <a:solidFill>
                <a:schemeClr val="accent1"/>
              </a:solidFill>
              <a:ln w="9525">
                <a:solidFill>
                  <a:schemeClr val="lt1"/>
                </a:solidFill>
              </a:ln>
              <a:effectLst/>
            </c:spPr>
            <c:extLst>
              <c:ext xmlns:c16="http://schemas.microsoft.com/office/drawing/2014/chart" uri="{C3380CC4-5D6E-409C-BE32-E72D297353CC}">
                <c16:uniqueId val="{00000001-4950-4FE3-8645-6EE3FAE205F8}"/>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3-4950-4FE3-8645-6EE3FAE205F8}"/>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05-4950-4FE3-8645-6EE3FAE205F8}"/>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07-4950-4FE3-8645-6EE3FAE205F8}"/>
              </c:ext>
            </c:extLst>
          </c:dPt>
          <c:dLbls>
            <c:dLbl>
              <c:idx val="0"/>
              <c:layout>
                <c:manualLayout>
                  <c:x val="9.166666666666666E-2"/>
                  <c:y val="-5.09259259259259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50-4FE3-8645-6EE3FAE205F8}"/>
                </c:ext>
              </c:extLst>
            </c:dLbl>
            <c:dLbl>
              <c:idx val="1"/>
              <c:layout>
                <c:manualLayout>
                  <c:x val="-8.6111111111111124E-2"/>
                  <c:y val="6.018518518518518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50-4FE3-8645-6EE3FAE205F8}"/>
                </c:ext>
              </c:extLst>
            </c:dLbl>
            <c:dLbl>
              <c:idx val="2"/>
              <c:layout>
                <c:manualLayout>
                  <c:x val="-0.13285039370078744"/>
                  <c:y val="-3.648052009530876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50-4FE3-8645-6EE3FAE205F8}"/>
                </c:ext>
              </c:extLst>
            </c:dLbl>
            <c:dLbl>
              <c:idx val="3"/>
              <c:layout>
                <c:manualLayout>
                  <c:x val="7.5120696869413056E-2"/>
                  <c:y val="-0.1018515771700882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950-4FE3-8645-6EE3FAE205F8}"/>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Sheet1!$H$4:$H$8</c:f>
              <c:strCache>
                <c:ptCount val="4"/>
                <c:pt idx="0">
                  <c:v>Female</c:v>
                </c:pt>
                <c:pt idx="1">
                  <c:v>Male</c:v>
                </c:pt>
                <c:pt idx="2">
                  <c:v>Other</c:v>
                </c:pt>
                <c:pt idx="3">
                  <c:v>Unknown</c:v>
                </c:pt>
              </c:strCache>
            </c:strRef>
          </c:cat>
          <c:val>
            <c:numRef>
              <c:f>Sheet1!$I$4:$I$8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950-4FE3-8645-6EE3FAE205F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completed.xlsx]Sheet5!YES</c:name>
    <c:fmtId val="11"/>
  </c:pivotSource>
  <c:chart>
    <c:title>
      <c:tx>
        <c:rich>
          <a:bodyPr rot="0" spcFirstLastPara="1" vertOverflow="ellipsis" vert="horz" wrap="square" anchor="ctr" anchorCtr="1"/>
          <a:lstStyle/>
          <a:p>
            <a:pPr>
              <a:defRPr lang="en-US" sz="1680" b="0" i="0" u="none" strike="noStrike" kern="1200" spc="0" baseline="0">
                <a:solidFill>
                  <a:sysClr val="windowText" lastClr="000000">
                    <a:lumMod val="65000"/>
                    <a:lumOff val="35000"/>
                  </a:sysClr>
                </a:solidFill>
                <a:latin typeface="+mn-lt"/>
                <a:ea typeface="+mn-ea"/>
                <a:cs typeface="+mn-cs"/>
              </a:defRPr>
            </a:pPr>
            <a:r>
              <a:rPr lang="en-US" sz="1000" b="1"/>
              <a:t>How</a:t>
            </a:r>
            <a:r>
              <a:rPr lang="en-US" sz="1000" b="1" baseline="0"/>
              <a:t> long we take to ship</a:t>
            </a:r>
            <a:endParaRPr lang="en-US" sz="1000" b="1"/>
          </a:p>
        </c:rich>
      </c:tx>
      <c:overlay val="0"/>
      <c:spPr>
        <a:noFill/>
        <a:ln>
          <a:noFill/>
        </a:ln>
        <a:effectLst/>
      </c:spPr>
      <c:txPr>
        <a:bodyPr rot="0" spcFirstLastPara="1" vertOverflow="ellipsis" vert="horz" wrap="square" anchor="ctr" anchorCtr="1"/>
        <a:lstStyle/>
        <a:p>
          <a:pPr>
            <a:defRPr lang="en-US" sz="168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B84-40CB-A11F-42F6A3A78AA6}"/>
            </c:ext>
          </c:extLst>
        </c:ser>
        <c:dLbls>
          <c:showLegendKey val="0"/>
          <c:showVal val="0"/>
          <c:showCatName val="0"/>
          <c:showSerName val="0"/>
          <c:showPercent val="0"/>
          <c:showBubbleSize val="0"/>
        </c:dLbls>
        <c:gapWidth val="219"/>
        <c:overlap val="-27"/>
        <c:axId val="1223071280"/>
        <c:axId val="1223071760"/>
      </c:barChart>
      <c:catAx>
        <c:axId val="12230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crossAx val="1223071760"/>
        <c:crosses val="autoZero"/>
        <c:auto val="1"/>
        <c:lblAlgn val="ctr"/>
        <c:lblOffset val="100"/>
        <c:noMultiLvlLbl val="0"/>
      </c:catAx>
      <c:valAx>
        <c:axId val="12230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crossAx val="12230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completed.xlsx]Sheet5!Y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How</a:t>
            </a:r>
            <a:r>
              <a:rPr lang="en-US" sz="1000" b="1" baseline="0"/>
              <a:t> satisfied are our customer</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Sheet5!$F$3:$F$4</c:f>
              <c:strCache>
                <c:ptCount val="1"/>
                <c:pt idx="0">
                  <c:v>1</c:v>
                </c:pt>
              </c:strCache>
            </c:strRef>
          </c:tx>
          <c:spPr>
            <a:solidFill>
              <a:schemeClr val="accent1"/>
            </a:solidFill>
            <a:ln>
              <a:noFill/>
            </a:ln>
            <a:effectLst/>
          </c:spPr>
          <c:invertIfNegative val="0"/>
          <c:cat>
            <c:strRef>
              <c:f>Sheet5!$E$5:$E$8</c:f>
              <c:strCache>
                <c:ptCount val="3"/>
                <c:pt idx="0">
                  <c:v>Jan</c:v>
                </c:pt>
                <c:pt idx="1">
                  <c:v>Feb</c:v>
                </c:pt>
                <c:pt idx="2">
                  <c:v>Mar</c:v>
                </c:pt>
              </c:strCache>
            </c:strRef>
          </c:cat>
          <c:val>
            <c:numRef>
              <c:f>Sheet5!$F$5:$F$8</c:f>
              <c:numCache>
                <c:formatCode>General</c:formatCode>
                <c:ptCount val="3"/>
                <c:pt idx="0">
                  <c:v>7</c:v>
                </c:pt>
                <c:pt idx="1">
                  <c:v>8</c:v>
                </c:pt>
                <c:pt idx="2">
                  <c:v>6</c:v>
                </c:pt>
              </c:numCache>
            </c:numRef>
          </c:val>
          <c:extLst>
            <c:ext xmlns:c16="http://schemas.microsoft.com/office/drawing/2014/chart" uri="{C3380CC4-5D6E-409C-BE32-E72D297353CC}">
              <c16:uniqueId val="{00000000-A080-4B08-8277-4149E1B844CB}"/>
            </c:ext>
          </c:extLst>
        </c:ser>
        <c:ser>
          <c:idx val="1"/>
          <c:order val="1"/>
          <c:tx>
            <c:strRef>
              <c:f>Sheet5!$G$3:$G$4</c:f>
              <c:strCache>
                <c:ptCount val="1"/>
                <c:pt idx="0">
                  <c:v>2</c:v>
                </c:pt>
              </c:strCache>
            </c:strRef>
          </c:tx>
          <c:spPr>
            <a:solidFill>
              <a:schemeClr val="accent2"/>
            </a:solidFill>
            <a:ln>
              <a:noFill/>
            </a:ln>
            <a:effectLst/>
          </c:spPr>
          <c:invertIfNegative val="0"/>
          <c:cat>
            <c:strRef>
              <c:f>Sheet5!$E$5:$E$8</c:f>
              <c:strCache>
                <c:ptCount val="3"/>
                <c:pt idx="0">
                  <c:v>Jan</c:v>
                </c:pt>
                <c:pt idx="1">
                  <c:v>Feb</c:v>
                </c:pt>
                <c:pt idx="2">
                  <c:v>Mar</c:v>
                </c:pt>
              </c:strCache>
            </c:strRef>
          </c:cat>
          <c:val>
            <c:numRef>
              <c:f>Sheet5!$G$5:$G$8</c:f>
              <c:numCache>
                <c:formatCode>General</c:formatCode>
                <c:ptCount val="3"/>
                <c:pt idx="0">
                  <c:v>37</c:v>
                </c:pt>
                <c:pt idx="1">
                  <c:v>51</c:v>
                </c:pt>
                <c:pt idx="2">
                  <c:v>39</c:v>
                </c:pt>
              </c:numCache>
            </c:numRef>
          </c:val>
          <c:extLst>
            <c:ext xmlns:c16="http://schemas.microsoft.com/office/drawing/2014/chart" uri="{C3380CC4-5D6E-409C-BE32-E72D297353CC}">
              <c16:uniqueId val="{00000001-A080-4B08-8277-4149E1B844CB}"/>
            </c:ext>
          </c:extLst>
        </c:ser>
        <c:ser>
          <c:idx val="2"/>
          <c:order val="2"/>
          <c:tx>
            <c:strRef>
              <c:f>Sheet5!$H$3:$H$4</c:f>
              <c:strCache>
                <c:ptCount val="1"/>
                <c:pt idx="0">
                  <c:v>3</c:v>
                </c:pt>
              </c:strCache>
            </c:strRef>
          </c:tx>
          <c:spPr>
            <a:solidFill>
              <a:schemeClr val="accent3"/>
            </a:solidFill>
            <a:ln>
              <a:noFill/>
            </a:ln>
            <a:effectLst/>
          </c:spPr>
          <c:invertIfNegative val="0"/>
          <c:cat>
            <c:strRef>
              <c:f>Sheet5!$E$5:$E$8</c:f>
              <c:strCache>
                <c:ptCount val="3"/>
                <c:pt idx="0">
                  <c:v>Jan</c:v>
                </c:pt>
                <c:pt idx="1">
                  <c:v>Feb</c:v>
                </c:pt>
                <c:pt idx="2">
                  <c:v>Mar</c:v>
                </c:pt>
              </c:strCache>
            </c:strRef>
          </c:cat>
          <c:val>
            <c:numRef>
              <c:f>Sheet5!$H$5:$H$8</c:f>
              <c:numCache>
                <c:formatCode>General</c:formatCode>
                <c:ptCount val="3"/>
                <c:pt idx="0">
                  <c:v>150</c:v>
                </c:pt>
                <c:pt idx="1">
                  <c:v>182</c:v>
                </c:pt>
                <c:pt idx="2">
                  <c:v>163</c:v>
                </c:pt>
              </c:numCache>
            </c:numRef>
          </c:val>
          <c:extLst>
            <c:ext xmlns:c16="http://schemas.microsoft.com/office/drawing/2014/chart" uri="{C3380CC4-5D6E-409C-BE32-E72D297353CC}">
              <c16:uniqueId val="{00000002-A080-4B08-8277-4149E1B844CB}"/>
            </c:ext>
          </c:extLst>
        </c:ser>
        <c:ser>
          <c:idx val="3"/>
          <c:order val="3"/>
          <c:tx>
            <c:strRef>
              <c:f>Sheet5!$I$3:$I$4</c:f>
              <c:strCache>
                <c:ptCount val="1"/>
                <c:pt idx="0">
                  <c:v>4</c:v>
                </c:pt>
              </c:strCache>
            </c:strRef>
          </c:tx>
          <c:spPr>
            <a:solidFill>
              <a:schemeClr val="accent4"/>
            </a:solidFill>
            <a:ln>
              <a:noFill/>
            </a:ln>
            <a:effectLst/>
          </c:spPr>
          <c:invertIfNegative val="0"/>
          <c:cat>
            <c:strRef>
              <c:f>Sheet5!$E$5:$E$8</c:f>
              <c:strCache>
                <c:ptCount val="3"/>
                <c:pt idx="0">
                  <c:v>Jan</c:v>
                </c:pt>
                <c:pt idx="1">
                  <c:v>Feb</c:v>
                </c:pt>
                <c:pt idx="2">
                  <c:v>Mar</c:v>
                </c:pt>
              </c:strCache>
            </c:strRef>
          </c:cat>
          <c:val>
            <c:numRef>
              <c:f>Sheet5!$I$5:$I$8</c:f>
              <c:numCache>
                <c:formatCode>General</c:formatCode>
                <c:ptCount val="3"/>
                <c:pt idx="0">
                  <c:v>312</c:v>
                </c:pt>
                <c:pt idx="1">
                  <c:v>373</c:v>
                </c:pt>
                <c:pt idx="2">
                  <c:v>351</c:v>
                </c:pt>
              </c:numCache>
            </c:numRef>
          </c:val>
          <c:extLst>
            <c:ext xmlns:c16="http://schemas.microsoft.com/office/drawing/2014/chart" uri="{C3380CC4-5D6E-409C-BE32-E72D297353CC}">
              <c16:uniqueId val="{00000003-A080-4B08-8277-4149E1B844CB}"/>
            </c:ext>
          </c:extLst>
        </c:ser>
        <c:ser>
          <c:idx val="4"/>
          <c:order val="4"/>
          <c:tx>
            <c:strRef>
              <c:f>Sheet5!$J$3:$J$4</c:f>
              <c:strCache>
                <c:ptCount val="1"/>
                <c:pt idx="0">
                  <c:v>5</c:v>
                </c:pt>
              </c:strCache>
            </c:strRef>
          </c:tx>
          <c:spPr>
            <a:solidFill>
              <a:schemeClr val="accent5"/>
            </a:solidFill>
            <a:ln>
              <a:noFill/>
            </a:ln>
            <a:effectLst/>
          </c:spPr>
          <c:invertIfNegative val="0"/>
          <c:cat>
            <c:strRef>
              <c:f>Sheet5!$E$5:$E$8</c:f>
              <c:strCache>
                <c:ptCount val="3"/>
                <c:pt idx="0">
                  <c:v>Jan</c:v>
                </c:pt>
                <c:pt idx="1">
                  <c:v>Feb</c:v>
                </c:pt>
                <c:pt idx="2">
                  <c:v>Mar</c:v>
                </c:pt>
              </c:strCache>
            </c:strRef>
          </c:cat>
          <c:val>
            <c:numRef>
              <c:f>Sheet5!$J$5:$J$8</c:f>
              <c:numCache>
                <c:formatCode>General</c:formatCode>
                <c:ptCount val="3"/>
                <c:pt idx="0">
                  <c:v>224</c:v>
                </c:pt>
                <c:pt idx="1">
                  <c:v>247</c:v>
                </c:pt>
                <c:pt idx="2">
                  <c:v>250</c:v>
                </c:pt>
              </c:numCache>
            </c:numRef>
          </c:val>
          <c:extLst>
            <c:ext xmlns:c16="http://schemas.microsoft.com/office/drawing/2014/chart" uri="{C3380CC4-5D6E-409C-BE32-E72D297353CC}">
              <c16:uniqueId val="{00000006-A080-4B08-8277-4149E1B844CB}"/>
            </c:ext>
          </c:extLst>
        </c:ser>
        <c:dLbls>
          <c:showLegendKey val="0"/>
          <c:showVal val="0"/>
          <c:showCatName val="0"/>
          <c:showSerName val="0"/>
          <c:showPercent val="0"/>
          <c:showBubbleSize val="0"/>
        </c:dLbls>
        <c:gapWidth val="219"/>
        <c:overlap val="-27"/>
        <c:axId val="1236497072"/>
        <c:axId val="1236498992"/>
      </c:barChart>
      <c:catAx>
        <c:axId val="12364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98992"/>
        <c:crosses val="autoZero"/>
        <c:auto val="1"/>
        <c:lblAlgn val="ctr"/>
        <c:lblOffset val="100"/>
        <c:noMultiLvlLbl val="0"/>
      </c:catAx>
      <c:valAx>
        <c:axId val="123649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new project completed.xlsx]Sheet3!count TX</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1</c:v>
                </c:pt>
                <c:pt idx="1">
                  <c:v>2</c:v>
                </c:pt>
                <c:pt idx="2">
                  <c:v>3</c:v>
                </c:pt>
                <c:pt idx="3">
                  <c:v>4</c:v>
                </c:pt>
                <c:pt idx="4">
                  <c:v>5</c:v>
                </c:pt>
                <c:pt idx="5">
                  <c:v>6 to 10</c:v>
                </c:pt>
                <c:pt idx="6">
                  <c:v>more than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2A1-4B57-B768-0876D4C7BB8A}"/>
            </c:ext>
          </c:extLst>
        </c:ser>
        <c:dLbls>
          <c:showLegendKey val="0"/>
          <c:showVal val="0"/>
          <c:showCatName val="0"/>
          <c:showSerName val="0"/>
          <c:showPercent val="0"/>
          <c:showBubbleSize val="0"/>
        </c:dLbls>
        <c:gapWidth val="10"/>
        <c:overlap val="8"/>
        <c:axId val="319160111"/>
        <c:axId val="319161551"/>
      </c:barChart>
      <c:catAx>
        <c:axId val="31916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61551"/>
        <c:crosses val="autoZero"/>
        <c:auto val="1"/>
        <c:lblAlgn val="ctr"/>
        <c:lblOffset val="100"/>
        <c:noMultiLvlLbl val="0"/>
      </c:catAx>
      <c:valAx>
        <c:axId val="31916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1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sz="1000"/>
          </a:pPr>
          <a:r>
            <a:rPr lang="en-US" sz="10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00000000-1879-46C5-9B56-138C85B4E76B}">
          <cx:tx>
            <cx:txData>
              <cx:f>_xlchart.v5.2</cx:f>
              <cx:v>Sum of Quantity</cx:v>
            </cx:txData>
          </cx:tx>
          <cx:spPr>
            <a:ln>
              <a:solidFill>
                <a:schemeClr val="tx1">
                  <a:lumMod val="65000"/>
                  <a:lumOff val="35000"/>
                </a:schemeClr>
              </a:solidFill>
            </a:ln>
          </cx:spPr>
          <cx:dataId val="0"/>
          <cx:layoutPr>
            <cx:regionLabelLayout val="none"/>
            <cx:geography cultureLanguage="en-US" cultureRegion="US" attribution="Powered by Bing">
              <cx:geoCache provider="{E9337A44-BEBE-4D9F-B70C-5C5E7DAFC167}">
                <cx:binary>7H1pc9u4svZfSeXzSw8WggBOnTlVQ2qxvCd2kkm+sBRbIcGdBPdff5u2k7EoeQ5dNfpw9V5llnKo
hpt8iEb3043Gv+/bf91Hm3Xxro2jRP/rvv39vV+W2b9++03f+5t4rU9idV+kOv1Rntyn8W/pjx/q
fvPbQ7FuVOL9RhA2f7v310W5ad//598wmrdJL9L7danS5EO1KbqPG11Fpf6ba3svvVs/xCqZKV0W
6r7Ev7931pH6kRaJWr/fvkZ+f/9HtI43D+t3TlolZff+3SYpVdndddnm9/db45D3734b/7od1d5F
oH1ZPYAw5ScCmYIIi8rHD3//LkoT7/mygQk5IZyY3IKRn37rFajyJo0e9Vk/PBQbreHOHv+/O8DW
bcDT+OO/P4X74WkMAHiAxe/vPyWq3Dy8uy3X5Ua/f6d0+vi4is5Jh1v9dPv4bH7bhvA//x79BTyt
0d+8QHn8aP/bpW0g/wvIt+vknb0pknXxoJL0AFibJxgJigWl6PFDR1hjfkKkiSSX21i/XbH9kL8y
zgTkX5E8shfASeF1Hia5Lg8x1cUJwkJKSvnTVBcj+GGqY2oKxjFceTnX36rXfvT3jjIB+71yR4b8
H1Gmks0Bprw4sSRlFmbmfsyxPOHwYYyb25hP12g/2iP5CTiPJI4N4Xj9kBYHQZjC6oyIAAC3V24E
0BIiKZKP1h6PAJ6s0CsAb8tPAXhb4sgAdtKo0ocw2/KEIEkozOGnVRscsW2cyQmCZd2SJttGeLpG
+xEeyU9AeCRxZAjbVVkewkbLE4YJNdFrNprgE8ZMC2MymsKTFdqP77b4BHi3BY4MXQi/1vWmWOuD
2GgsLYIJ569MYXRiiWGSm9ZoCr9Fqf0o797XBKR3hY4M7ctN8pDeHybMkid48LY4x09ow6zdNtgU
LDq3KJUQbL/0s9+k1H60d4eYgPau0JGhPdtE765SoHD++blt4hPOTHC0htBq+OwQKCagbVIgUEYM
ypuU2o/27hAT0N4VOjK0r9bZIfwwAeQIMGGwCj9N6zF7MjBlAugTJkZAT9VnP8Zb0hPg3fr+kSE7
j97N0gICqX9+HlNxwom0GHnmQSVwYNtWG8IpKTHwI9Yj/iNf7E2q7Ud6d4gJcO8KHRnmC6CND8KG
WiecYosxjJ8M9xjwgRoRDP7gUVw1XaP9OI/kJ4A8kjgyhC/Tg+AL9hpoLWE9r8s7CzPgS4gQkqMR
3T1Vn/3obklPwHbr+0eG7DLaJMkBbDVEzAQxLAmES9tGGihsKTCnbLQGT9ZkP6jb4hNQ3RY4Mlgv
U4id/nlYwZU2JZJMYuvJIu+gi06YSYAmweB7bQVOUxXaj+72/UxAd1vgyNA9reLvafRQHgBgcKGE
hU1zd95CatLCFEEi+gn6bXzfotJ+iHdGmIDyjsyRAX0Tre83h0lJwKo6uMpPiQe0EynhE8RNihH5
5Xm9nM3T9dqP9Uh+AtIjiSPDeRVnm0Kto39+QlMCMRERbMDy8TNGGrMTBi42w5ChGj6joOktmu3H
emeECWjvyBwb3kl3iADZgkohAn4Xf04l78RLAnwvaVlCjMoHVhP1eQXhl9JT0H35/SND9m7jr+MD
cFsmOoEZaiFGXomFB26LmhiSUGTfPJ6u136MR/ITUB5JHBnO51AFdgBrzU4of8wzPhnjwRpvRU8Q
EQ8VQpiSUWJiqj770d2SnoDt1vePDVmoKT1EhtE6AdCAnTbZL5dqDK0F14C8HkM7VaFXsN0SnwLu
lsCRoXuxDg+QYqIwLcHDAp7quW5zTwWIxAxbgo/Sx1P12Y/tlvQEaLe+f3TIar05gE2GldeE4jwh
n9ZVtBsrQWkAXDaFNZq4F+upGr2G7pb8JHy3JI4M4VtgoQ/hW0FiyaTSgtThc/HHOEYC34pjZpnm
UMH3Mg6ertF+hEfyExAeSRwbwusE6qrtdfF9/VhlXf3DWynME5MgmKfyFSca3CtLCnCjoVbv8TOC
+63qvYL63mGmgL9X8MjegYtUv/sj8TbR5hBemHkCIRSh4qcXNq6wx5CTMinU68JivocOeaNy+/Hf
N8gE9PeJHRn2l+sHqO87QFxlnUB1H6Sc+HOF7jiuIugEWbCzwsTjTONkjfZjPbqjCTCPJI4M4Y8K
Kji1ejiEE05PpECM0ufYeTd45hBdcwQB1gjkNym1H+fdISZAvSt0ZGhfrgt1AJcctkRKbjKYzM+l
QGMrDg4bg110sNCPiM7JCu1HeVt8AsLbAkeG7rDl7xJ2ch6CyuYnYIw5h51RT47YTs0m0J1EQBWv
OUpYvEmp/SjvDjEB6V2hI0N7eJWz9CD7Zx7BhrVZPIfY49UZ3HJpmVxAfLbPLX+LZvsR3xlhAuA7
MkeG9/BCn6XrvDqUBQf7bRKIxx4/OyE3hlpeIEulfPLY9szyNyi3H/V9dzgB+H1iR4b95aa4h336
zgF6GVBkSetXyd/Owg1km8ASoi9zX/g1Xa/9iI/kJ4A9kjgynG/X9wX0ikjKQyzh4oRx2Npswrap
x8/OEj4Ukw1/IOE1fHam+Ft024/3nvubgPkeqSPDHSpay02x6Q4ww60Ti1ucU/Qal4pPLKBSLTpu
V/IWnfajvTPCBKx3ZI4M6atNvT5IVxoozbYIFxQ9Myp7FnCEYcOzKUcZr+ka7Ud5JD8B45HEkSF8
V0Xr4hB0CiSsKRqqSZ5rBPd45URCKRFmgP3LrMh0jfYjPJKfgPBI4sgQhnZJidLRujoEIc4heYmg
Gt96LXMNlaBooMT5iEp5m1b7kd4zxgS090gdGeLXxRoyIAdYnSlUg0LVr7BeazYDzcYYtCOxxt7Y
dI32Iz2Sn4DySOLIEL5Vm+IgmQ7YeGMhClX6T071vmoFuAhJULE/sJ6s136cR/c1AeeRxJHhfBNV
0MDwADMZKDFqcdgM+5zK3omu0AmUpMBWHTraGzldo/0Ij+QnIDySODKEBzrI3kBjw0PE0FDRzcjQ
e+aVokFoPGMigmDHzsjLfptW+5HeM8YEtPdIHSHiM7XxDgH4Y6URZ7BlY1z5y2H/FRXQGvL5Vdj2
uYenPlmn1+HeHmIi2ttCRwj2Atyxe6Xv05/P/J9p68oFQhwCqCd6bLxZA3KYQI5jJugoWz1A/Uuj
KSvL63DvDjMR8l3BI4T9olL63fV3pbNDzHQGvUiIBRQJvAXP9OdWPTiUpMB+DwQ9xfbg/0bVXn8D
9g008R3YJ3p8b8HQ5xUIFvjvIZIhUGgGJePPFmBs8mFxH+gV4NBGLhxYgLeo9Sr6O4NMQ35H7DhR
L6r+AKBDJRqHbVro5w76HdChVyT0vADWbdejGx78RK3+FvOXY0yH/KXUsSHur/XwcP/pKQ57B6Bt
L7ht9LW2guQEfDokYCX46Vs8NW+/nazRK0hvy09BeVvi2BBWOlRdWh0AY2gvR8FNIz/78+9x5Czg
VxkUmI4wfoNOr6A8HmEKzmOZY0M6jdYH61YE3OmQ29zvsIHlNiXQajux+GSNXkF5W34KxtsSx4bw
0OX3EF0xoC0oJQS6wD5zajtrM+SugY2BqqSxtZ6s0SsIb8tPQXhb4sgQvoOyYTg95QDGGvrbwDZc
KD173uCzQ5sSoE2hcRU089421m9QaT/G4wEmgDwWOTaUK2jIHh/kUAUoEBdwUArM1FdsNQK/i2As
yGhNvnuDTq/gPB5hCtBjmSND+jOUB1QHiaGhdS8ksyh67cSUoYWghN43FgJj/rJI4Q0q7cd5PMAE
mMciR4by1zQ6BFEGB6Rw6GgDVnlEiQM/Ahc4hr5k29hOVWQ/sFvSE1Dd+v6xQVp9P0BYDO0SMOyp
h/aQr4XFcJ4CtEoQEDqPkJ2ozyvIvpSeguzL7/8vQPbvVdy64eGgsz9+Pts96Yy3H1IHXR8tCzZW
719wh53VGDbYA+77tnDAaQa/TtZ7stL7dNqP6kvZrXt8usW/fyiHOYLu9ePpfp30N1uX6/njGYEv
Tqj7+6uPtw9nG45En5e1PQ/sV4fV1cPv76H/G4UNc2BEfx0/OAy0tSj+yiL+fDO2BTfAkv3+3gCD
e4IG1mpo8QoZLAy/p9k8X+InTDIhqWASTiwc0pgJtPX34RxDesLg69ADZ9jFYyEJvRR0Wj1eIrBd
D0rMpESwy4dBq4Vf5zjepFHnpcmvB/P887ukim9SlZQabozCSNnT9wZ9QSUYDPZ4Q80aOICwkXu4
fr/+OPS1ga//PxUEvvajkl7CFsHYd1iYl17pVBYLz2IVNxlxcN3zorZNlJF25iddf1ul7szzE++C
VgFfh37i0DJ3PJR/C3iE8U2DdebZQd1lua3rRF7HadmfebSK1CovO3IHYYfBVlijwrClNMrr2KXu
WdhZqJyTMAzwreIyMs97r4/0vUw8q7ksaFawD1kcLWsriTZunatZmqgqcipTVMESBQIvZC5U/bHM
u3JlRkQbdt/7YT93UVd9601ehTbPfXROKumeF3keSCdJGn/utzJ3irwo5xXq1DkrO/PCdfussgPp
Sig2THxpm7nb9EugMHsnTPzqxids3XXJNx5694FlxnNYmGMns9gmK+ONJVNc2nWcmw9NqRyBEofk
XrNKesQWZWhU3xrLs+yaIKWcJqywI2QT2HDSpfiCDZXNZNi4962y6lNNE7LyDde/MEISn4a44Fc8
r9pVn2X50mR16hR1X9pxmLQOE5lvt8BP27J2LwHcbGaVwtGNdmeijM9FJVOHuQW/7BjrV6EZ+bYi
MrJN6S+5ymO78Eho004EcLJfldg8CWeZkBth+sZS1P1phOU1DZS17NymtA0dh7bnFqatzfZP0zfd
Wdj0tc0ttkyxbOEUntYp/aK5CmlbOsj3W0dGrJ0VEHjOAyMj18gLw1ujYfRjYlnJJkBmcRbnKvkS
1GbhKJU/JF0dnL88D3NrKtynWVcoz38+1fTXj/+5S2P45/GAzL/+cjgU9a+flpt0IJn1+EuD1fr1
rb8O2RysxK8TN0e25+lk1VcM099efJPVGizM61Zr6F64a7AGmV8Gi0GVK2xGAXsggL4zIer/ZbDg
VAFYs8BcQAyBH63ST4MF2xKhTpLAdgYKtkmYLwwWG9rkwoZFEzahDvaKvMlgWWhksMAaQhoQdIBg
hlJGQb+XBov6UYa9mpdXcWj5izSN1KxNY1P0HzpS93VmK+m7vTU3/Rr5yTysw2bOcEnwPKWkSxrH
7BSNzsFQ5N110MABkswWVcMKZuPWyis7ZpFPl5gncYRt04yU/gCTL6jJzHBlmnzrC6syb3hVySKZ
cZTV5nnLWKNbBxt5oNe8L4u+t0vL5Ro5bVvUUtu49otloDN56efIX3ltYdl505if8jRzQqEiO6/S
kNlmGMQznDf1OTD03YIIlVzxKKw+YitsvqOEsWxVB773HaZGu4g0ii+UFabzyEzdq8Bg5qI2Av/U
MjFMS9HQ7gN4Gu5KV2lzGSa8ucJBXc4KN/uRNkKDpSCkWAultBOVJqkc32Vga1hQ3pEmj2G6Juxe
9JFc1n7UXHilZ7tpr5aRYdKPokfRvKVebkcVas2ZwLq1WVkaK2g70F0VqAgWYRXohZnhLLO1jnFj
U0y/A0zlae6iPrBxJvFMSp98o33W3/h9HyR2SCryPTQ1O69y7a26MNB/UqbpDM73JTdJJr1ZL+Lq
uqrCe3ikySqXFr7FWqHICeB0uUuzUdJmPPWvujj0Zl7H1BVTWi+ljIp50Etx1eeKncZ5EjiyiwvH
p153b1ptdMEaV3+u4rRaaBkkjjYUuaQUR71t+TpcdNLN4EXJrQ84TI2Fypm+oYpms7JC6TmUn9Xn
Wodnbhf3804YYpGzrv3RmH50KrLYO2tTZYJuATculWshWGR1BCf/dlFkl2VlXeSdSJaZV+Gl2cBb
1LKibO2eSPcsKgzrcyWNLynyyQUxRHYN6rsLI4zNS50Sc1EWBbruer89i0QTrDyV1PPUKINLU2fd
R78QzazWTT7vVNXOvbp3FzrX2pv9n2V99AeHoPp1y+q8OO5218IOsj8t7HAC3tA3iUqMgUQXEJH/
tLBDIRNEe7CjE1rPcuiz9ZdLCP1oETDuElry8EdX8i+XkEPLLcGgEM4ayFgOfVl+rjJb6yC4w3tc
QoLA+G+5hIxLcFRhY6mA7aewmRz0e2lhZcx7mdSsvo5qRXwXHKMUnUUtNs+SPg0CJ7DiT13gEZu3
xoVICJ0FLK7tJrDAPTSQjcvgrvXK81C0tzVqLzoXB3bmW9KuGtHbverPpCo/N3F3xWO6YsqyaeSm
di70dda2Z1ZWWU4b5yvVR40da203ridtl8t2WVD6gwrwUBudJzZSYedkipJ5ERq53QtzUQWBcMwI
VbbU/tfOcn1bR2Y3l2UXz1CR3ZlWVdlmZRDwdT2HZj1yOvBjTC+vnSJxv0RgkEpidU6h9Yyp5rsF
XmPg5vEM+kLf5wFXTm2pP6281TZs71vRVjhVrrhtpORPyzOXgme94zZ04Qtwb6mOT4lVs1mdilPd
xvGsM+vCVnX7vUvd73HZXqPUz20Wll8VksqJzXAZhu1K+F6ywG1TzIraSG3hZQ8eMtmsxcmfWcoC
m/o1nblVubFc0l/psFurjLnnFVPcKRiJbd+z5kYi8EeieTGDBcJ3FBz+Zae6lcumCc8xy+uvQtYF
tSsITBZpUDvgJau56fJ0EXUUOeCp9XPh+8j2ZJ/aFUn0ZYdEOwvjuliIFBxVNzI6p4S32S506M8N
lRbzDil3niCtzhVKoyW4tuUtYXX/GVxDf5aiyLVDHaHLzor5om/C8Gta1ORMcW79Wes4/qgLnN/4
FlErgYv2IpcundVdlJ4RKy8q2zDN4MJtksydG2l7URV9ROw+Ru73VihDzBpm5KuEoA9hKvHc95vs
E+rgwS9dyE1/MwLp/TBFVM1jSYjdlF01D4VwuphAwBKA2w/uNLw3hTrHmlyWXQ9PvZnnjXehk/wr
0lo6Rl5dFX7SnLpu2S44qsHTpalccOZDrNRmV2ZJykUeIyfgEFfkWJ67ruXZYaSIndCezqxaJrPe
DPEsxULNeNyhRVpRP5sTdctpki0xLO2XKewrOw8rr/4sYyFWFuQJbN9A7tIQSQ/LU/GjJa5xGmfB
rBWdOvs/Y/4U3IOH+roxH4L7vw6v3zXnQxj905xjOO2BQrJ7yGfTx4D8lzmHI+ihyzjsIII24xx2
+QJD99NhZnBFAhPP4JV+stm/Inx6IjiUucA51tBmC+Kkt0X4w7GqW+Z8OIkCaio4lMYDpQDbFEfm
vGUGOFnUvzJCQWasjsu56Du6suou/wZzv4vtMgfXwbY6g3PHC3sW226T6wCsfBjMZW/V6CopiDlL
8sxrEZg9VH9oG5F26wpIrMKfeW3eV8RuozogmZ1TIWg7o1bv5nbIcd6voIar8PSyzIzIvxVl2dgF
K93ATgyOLBvi/OAuTqP6k1l6AXGiEHW3PhaxsgkQFIssi+Z9Wkb6tPNVZkes4p8TXBuV3QVl/TmL
pWhtyrK+c8ykx5FjwOrghDQTNzSss680zoOvBsvYKXAg4MPiOnKvOcKesCMRqMte56JyYrePPUco
y3VkSlaJh2InpkF1iQweX3ErqT/GxPLnRRUS01E8qU8rw2VOFeXiG0nitndkKdPerovKam0uFONO
gCP+0cAi7Z2+jNVpVPD+PiYGnfme2enE6VDOCrKoJAsy1zZpFaYrUdNyyQoARM9Ua9RfS1VgDLGM
W8/NAFcQ1wRPUU7/FPN0De17eSo9AV/rssJbclT2H3RRB9+oTPQHyTVfBBHU2NqRNv07YHauJNVZ
c5Ma8DRvEsOr0dzTKI0dz02rfOUTXLnXQpHgaxhpctfKKqo8G1bDwG4SpKJTRJMSlj2RucEqx0XQ
nsVcmc3GaoS3kXBe6LIqqbuIlJ/mEJURsKiG7uzYKPgMQh79p09xVlznhiEdC/iL/x8t10vTAx4e
+IOvG62X5O4TMfxI8T1KbRkr6OiI4ABPBsfBwYC/fE/o+DnsUAdrBY4fzNtfxsqEah08nD2GBkYa
zgYFpvIlHQktIqE+H+Y0h3brb/E98dhWMQjUCLR+BhoBUeh4A17zS9ez7Gma5VXVXiUNlfO6cf3M
TmnAQyfkTf3BMlh3FrR1Es4RAoepTM36EwSKLSzbMsm/vHh6ezzhoZn4luUEbcARH1hYE5ngGIws
p5l0WSj9qr4ieYKvwDAmrl3x1PKdti5TadeNWX3ldWYou4gFUKB5UIQQIfeam0Dn8eRBliW6hjH8
akaiCH/qmSHwsrOYu8GdgdvF32tMYBna0RicTmjADAsLnD80kCcv2FxTcR+w7cor2jLPm1ltH32q
YeGii5J3KbPrrsXBTHFX2D23OmV3IaJLcOU6DG5mWj74rdbYUUbGZrpUaW2XsY+AzSvAWZ57aeDf
hJU8i7X0NXAfSH7Wfn4eRg1r50ob1qUq/Dpe/v1d7cIAx+sgOJoFTp2FfT2PN/3ipnhneI2RRfoq
KV35OQUbR4AnIfBqZEnV3jRtIW8zF0d//v2vHd61LWYcw5nHQIHBQdbQO4+MiSaGWs/MtJdcJaLH
Vzj0q6tEAx8pXP/z3/8mmD47v0nC1jQOfbEh7hoCwpeoZYnZ9Xnhp1ciQ+Y6b9IiWrql6IgdZv4c
5VXUOxR1InUCypr4v700Y0YN7hKCQAYb1yErhaHGdvvXQxGfglgjVkAqh2wdBxVbh9GgA+tjPbeK
NLU7BNAvmyhviJ2HKd+UkdSrRgJP3lq0QA5tgjQEVzeJP9Eig5DQF123yYw6myGjj7nDZGoWpwx8
gurJ0APBuj9gHQ6wHD0+yH+C2YBGxAT64Jlg014+PmRVDHgx17iEBSteq6LUsMIbYZmYQGN3iXfW
+Cr87gmZXbR97i+s1GyVQ3DNf5S871On8z3umBD9bFRB+UPNMp8/+dGvKmmyHZAfEy1ArA7HrsLs
BF/wpZZWIRQqfEi0BGaeuVLMSun3y7ZsqVyUdVU5RZujD3XcMfDvfR9iOJwsNSmyZWRCFiaM8vhj
FrEYHIuo8b40QZyuOl2Wdsby7JOlQzFz88R1KgjRla1KGjS2G+jkqskMDYtsT+eeh2VgG72bxA6p
/fiUWWX0kQTejdcltAUaj+dXpZvflSQGB8WqCTxI1RGwDWYFZBRqRHAR+Ux8dVFlnvmWwBe919bS
aZBvxg7MLrUyRAEeZdOJfoYhDJv1QXuf6by8rcCN8u0mLvnC1Xm1Ml1C7nIfN+HS5QZWNqRq3O/A
/UKySSW58a2KeTzLMk1WYZpkK5zL6EHVmQXznsbhrZJuy+06N72zwi0qp4PnsMQmkdd5E7dzsyny
BcYtrucR49hz6sYTuVMDozGPNS1mVSavfdfw0AzjtDyFpYY0ToICyxYlj/5sY+Sfk0Jmt4yWbFnJ
wCALbcX9WlgQ4WrUBv2iDoW3MNoWrYmOmh/ayzLm9KQE+iHxSO0t2jJIYXI0zbzz6kosCojCZ5Bu
i08T+KoNC1CRwoOOa24HOggMh7sNt3kKYbdtlpELmTUjiZeFFc49s+rQhwZCkZnSBYrsAN6kckHL
RuplS3l7YYV9H7kfqiYv49juVNQlxYPv+oT0X3VjtDz2bVmAKU/vSRcHJS0gO1NVGboqwzIOW6Bl
8n5Zy6p0V3GhwNMOSJTeIm7QVdBRWgHRISF073IEiZ3eh3h0lkBU6ztlFAKvCBS1h5wiKrF7DTS3
xdPTsOONP+vaSJYXli4pvFGNm2LdOBWshQvL8AP3uoapY3lOLjIBLxwNdbxIIlWAq5rD4uXO21pZ
DpDvWDK7c1FiQmbKjWPHl1XjLpqIR/Fcu+AVLFjixb0jegYWMyGhCU69XxiRXevO0zdaGXE8Tz0l
fhhVzRWaoZSUSwX5Q3HFDNdzzxLKS84CJ2l13nenGgrVC3+eeT6P566u+3whC52oRRdZcXcKTECc
OYx0kXJ4y7poWahcGQ7ASr4YWdzjGbTgDeMZ/IuM6yhAhoZHnkBqK45lvKKFLKN56JfWxx58ZboI
gETC537jaw6ZN5/45dIt6iy5hcWYngVeT8JFlYEGc4iGPGBmcNtLRwRd1lzGooNX24CpUsxcjKuz
gjIWzTyXetUMghWAU3EN/knSB7TfRCH0+Z8JUCCeQQzo5yuMlHnqKR5aDiRhczpTqXJnfeVCXsJo
ikzeBG4TmA5VedDbQDj0xjlyI3OBM9djoK7k2Rx3fp+ufIUbbx5K02/s4Xs2lkom8Pp4NHfaRhmQ
H2mV8a2AdFVnABsGoekV7hPVK1vUpkHvuqgh1ZWVyS6dJTIvL1mVwJLkaR6CgIwhDbVwlY+TrxDv
Jf5Z3sVRu9AN64G0gRT2nRlAfpa1buzaAsPLu6iSltO5toB/tOMKQ54lonmoHdG4c4VV/jVqGvAs
Ai+obzWzmu9Z4dPTmjeeOxchhNZ2IlwYh0Vp0C6SosZXfZtR84MuGb7DpQHfaCxDC6fEHW/nNYkD
dVpAhgWyvtzT5FoZXH5OUD68nEGQ6yWPtK9v2s6EDC3KG8DGbxJQLNVgdM9hBZOfIRcHbzdkTsIC
EiyyTVelli65CSAKDT8SkUhz1ZpBU12WbTk4n37X3rDQsNp52sTwq9O0h3RsS+KyX6KQDzc/qN6A
fQK9shhfmSyBu6hyBo/KD9MQwtiwhqmTRV6oPiQFhylfVOAVeHANbCopE/86x2ZXJDbNfARwN0Vb
XcaGn2lboSpvF+3Ahsy7OoecEvyscwfuCAxIC/E3+MllEn924fDyM1ErJWzhQ92B03aetW4SCmq0
RdB9pGWL9LkHbm5wnmZJGNwKWC2WOkH4Kpde/hW2+1u57Zu+Imep8GR17vqpV8+6gucNOLgdXWYE
HquDeN7dh1HIbtoKQtzTHHV1+KWxYk+fxq4R/+h6OdgQlUf+DOIAQeeKdL5eZFYsvwDZFi8gYIZE
FzeH9EnR+B9VWupzGYcBmzFSEA/M3sCt1j6Rn4vAqL15RBKYJr3hUrkykxTnmxgMcncGB/7C3GgG
iz0PmAFPtIWE2BwWmSY/x0VFLMeVUVnDSktrBK53HnwrZC3vjA7c9LNelgV+KHXSaTvGmNcr1RAY
qo2x3ztm41neKgNYGscIpbXo07ouL9uOR7dBrXNbcH1qxm3NTvvGAnBChHW/zKIwTS8TqzUvjBKZ
6dzPk7g+97om8x3BdOzfgSeiH5BMwIyA6dS1HfpQVGDLphY5rAJdfht5OVZ/4rSnorZ78MC6T1lJ
DQmDabeY+9wIvTPDzZrvvoeM2om4tsKVkgh/aLXh9ssC0n1qrvoKXlJFyoDetGHUs6vYyiA9lmc1
si5N7Jut04F3o+eNnwFqjUiUZxc9B7ZIaB3NcUvbYlZHRBTLXuTw9odm6/FZ53ZIO26mrfxLwzp8
F/gFvGuw0snP8K7H+iaRCQYDSzIZLETsW43dVl8JZIcFtsOw5p8YSfIG2GWvNC9NNxL1x9zVEvhu
D97oOWQiAE0IHLr2QtEyTC94kfn0hrQoslZum0q4r7Y1vMuwMLJmFmsXbAZ4Y1V5GUUu6F/I0Fto
X4T+rGkRWnW5CfO+g1yRsk3X55ePgcdzSdXNy3qgl8UKL2sXphRBXKr7ItXpj3JcBbE10P++UgkE
kc7rdMof8fohLV4SME9lYYPUTzplOAsBzikjP6sbYK/LLzoFmoERqAYaOjVToF5/sSlwhA5UdSEg
Yp+ydS/ZFDhRA0OrX4gEnxKA/C1sCn0M91+GsHBgPBQZQhgLtYRQLDZstnoZc6QZ60PWufoaRfQu
TPUtgZx6bOoPYZsBi1eb/pmHwCXH5mnQdcEsDkN34dZW45Rt5doohwIu3jXVDBbpj8jse8fPOLYb
s7Rs3eMPJfof9s5sOXPcTNpXRAdJcD0FyW/XvpRUJwypSgIIggAJguvVT7LK3X9199gRHfHPwcQ4
fOJ2W7VIH4H3zXwy2WEVT/FrKZjthRStd0yZ8eH2yQcTK0FXpRPq6fnK6VxNGyXaDBaQkzlzWOYY
tUQhR9+hxk7dtauaRwAm4VU8ruoifN9SHcGRYWXPCl/G+6BPGcYDPWUR54yuRj1ylZBcOk1LXdMf
uzbclYllRV/jJo+D5gP73jNmZYdKPzxo4jw4a+3Rsuuv1u1aXEP2Di1M0C4c4PjpqVDmKLyLx8j3
kb8ZktmUHbQuWT6NELihcgt8R2qZKznXub/2bdEu4m1adUtna74Pdjp5tp1o6uIvZEagFya5hbDe
0kUVznoZrHeag+RrKKKjdkVA0yV08zQOL4aZ26qZZxqMCVSv2bupIyMpc4fCS1z8SEjcU8tYf4xN
4FJMwPc+m4K71OHfZl/d9SrBBSiJzCqPezu/0z7t49HbkcgMRVtqW8jaiLysJ48aN7n4FT8uQxXQ
EAq+SNT9XPeCuuvgFR3Byp70y0KjFLtUhAu0YJ0dH5h1SVZ66RfmaEFh/+07V5z6On4M0vXNc5ja
N0tNLUA+MfI01z6vsa4ZTtugPUzu6GeR7U54P1yPn1+3T0kjsrr0lHvbBlY9JGWH39j0tK31zRqY
b5We9NEfnVt8wN9SXWlqBFMnXnsvphuvDHaA3EkCiFoT+Zin4WOMl2XX2xk2RJ+UB4zl7w0eUarx
R8lqOGq7ahoeQp/15yZxT6MQr+2antfOW7NQ872eHEAYC3gVN3F3lpUe1XUJv6Lvr61Y8fiMj5yV
7x2Pk4MiWISE0zyUK9lgmuFLR+LjxlAeklCfwPBIqmFy7pJeHSMWPhnu8tNoVURrsT7g15wuHax2
zEVaF5ZFJvsxA48Gy4yXbj+8mSyZG5VR7pXBl14Lk40rHOy+V+rU+8OczXBtKF8qYDi9tNk69/qF
uSU7KM7NrYjClE6ky2e1eLtkaJ4TH9wNsxxjh/Bo7+sKP6BWFaUUA0agGljlYv1jX2lOtYh4bvzh
6K6Je+wSfoy9Uu4j/FloF5GFAvqyNMHV2Qu7Ut2pQ2C7g3CiXGhI+kJYgTnS8fCkBTbDiDzTJeBx
nrI+t4GHJQf/xQnCWwGHX/fjkzeLc2iGkybLdRqYhzEeB7r2zR4MVk0VPBqqau96nIenSoeKyoXf
NsFwV7PpOannq75ZX/oSk1gNiZY2WjxDxjgFs3tY+v7RJpEL0kq51NWa0FTOl7rvitg1etcsSU99
M1+VhtzVagHbNHlF7LcnfwAHufTDZxCWXyvm3UAruoa0dQsaoMuSsX8vyxD+b72+SN4TkKJJUmCO
/9o3Me73BQyC9dtHzUGKOa0uRolPDbTMpX4GQRseqiBSZA970S+4xhYeVvo/TM4/L2OImf/mCpdt
pT7+myscX/XbFQ7aHt36BP0xW0Uv7upfrvAftzte+B3+9D3+QOOk2DAJXqETonckisHQ/OaIJHh5
KV5eiWIqQNqor/h7jshfdEPMDz60bwIxDX9Ob6uC/vUOZyaehCCJvHG87pVVcE7XQb57S3iUXqOo
AI7c43yPYdq6I2AKwi7p0l1PSYNlcAJF02xQ78CczMSDv2Ohu3M1eZiq0S+SWA/ZyJaLa8s8cnCH
VZ59rhK/zaQnLzzsZDY65iDr/q2JZkZh934vfdCCrQOrlIXzeU7G76CX8RjAs81BbBbRMgKlXNRa
uIMjc9MA9sUMbbN4SAfQl26UWa2WndLLrQ8IOfeZPA9zSCim6BdAwnOO5ea7dqMTxPI272bVUjb2
NW0YoSGHgKzi9HZNvS9juYIzT6oaiqkzURnD2xWRqLKVtT5tGlbSuDwSZndLrEvaYb2g/jQ/r5xd
2Vid27I9c/ydcEZXhja+fz9VdT4y1hS18q9Kz38sF2l3I7KZuAkJ7JB+hOJaOwnIUHJoyFJlZdJ+
SULjZIAe2cCyEGQ6e7C+aL9ip39e1mA62w1tIrbfS2+CcNeZrzPD4qbqfdNOEXCkUNNgWgDYkNKn
vEyuOPOfSYfDZKimGwcl4UVdD2vuhysr1hQ7MzOps3f0cE8c/j0EP7WHfpB5UAXOOnqz8xukE5CX
0Vu/EL0fjLuXA+Yo006Nfk49rh6kK9v6o2Lr92nm9yvBnR0PrcbRaXiSvBlPXJf4fB9dq9zDbH19
45syvQmasj8Bg8yCdCjUFEcHaxbMDdytMh6kyzURK9aVSjfTHsrrl0lNeVw1/IrM+gPbmH9wNUs7
aqKErz+9gP/fC83/tlVla6D99+ccGPXvb38+6H5+2W8H3dZ/uL1NIoH6mAQkxkby+66CapUYLi4e
zz8vK0gHo6kB7wIDlxjANcZX/XbQgfkOAwLvBbw4Xk3g/z2w+69uawxvOQIOGUMdBRvzJxsqmVmX
DgkfbkRl21Mi0+DKqPmcKNll4WCeI7BznbD1QelYrh9c951zN2BEXboVAQtvlncpbxW19XJnWXDS
faN3ncQj760LLMzac/aVHAMatHzH6pEfoZO7GWsxy0DJYDxLx07tmriVw8PC2teU44F0sJDQGGIl
5hi/D07j7KynsFUzwMhl460GWefLRmBZoFgsBZNVbXTW4mn4OF6dHkFNjM/tRnH5G8+V/CS7Htof
qFeyUV/txn+NxnHzeGPC9EaHyY0T8yMsPAboWP2DIWNeFm5UWQi8LNk4s3Ejzka5ztTZKLR+49HM
1F97G6FmgaoZIGsL0DWOs9kHyuYG7DxtbJvdKLcKqg2OzySbhh6P8sbCsdLBKWAs+ywnHX1dVjGW
QJg7TmHfQFnnvXdIzXDPa/KQCFcNxzbijr2rPNUdYMBkquPRAcxzrx4iC+iH8qGMR0riMtgTbxoF
Dcvwsy6H6bh10OwHVdf52qjbRfTXUdCelOTXneufE+vsdD+dnCbK9QpVZOM9BWb0qv0+Kf++sunr
j2fm//rhEbpbqOtfD0mw5Yb+L2fHz6/65ewAquYiPgYaAm4MzM1fzg5IC26ChEeICBlOgd8ZtxRv
gwZqgl42xNy2/sb/d3Yk/9hGGhw6UPf+PrK8jVt/sIBB0bke3kiJc2jD8JI/DUkzAGFI3mVwU69t
vBzXSDeIGXBiyxvIqaRprhzYd4ekjMGGDfxhCVhAa3zccuUPIJbLqKJwt+tiSG2Q92HjHtypFnky
E5MNo37zlpVlQGvf1q6f84YAfzB9dJYNg5pdilvRQUNkpS3apg/omEDHTJbVPVRp1OeYj0pYfTUY
aacZC26szHlkzwOiDNSLqy+jF91VRO0jiSiCnnM1rvuqw6g3uo2LTVHfrVhvdKSPPVIRtJIaFo11
WJZCWaWVWd9SYe6iqHMPAxA17DX+re9aeTUEq97BvFC5X0oN37D7JCV7GwTGscaJC7t8TLMf5vBO
i9EhLJeNupr94EurGDbgZGoPQQ+32JAJMZXW45RozD5rkhrkAuczWStR+Gb9GJJyN+jx7KUTojM4
ilq970lfGNibvvBGOIRtjZga+bApzOwJa1zqUn8lFwQKD2sI03NAiozy2GZjUz0mg1Q4A9sD8hvF
rMWjTJ3cWnXXGvfMnSGDWgrNPWzuRvxIhyYAJzFXRu0tWLtdErUnL2zeFaKNAPXKizumFzhgCmR4
qaIT9gBz581uW34VRjK/6Ilm6s5Z7dLuG08tUF1q9wWnX6ppNNbf/JDsZoTYIEsP3wCW72I/ZdmU
4F9Xw/TRBV6fCWDVtBnng134daDKpHCmedl1ln9OTmRw0C6vCDc92nW+80bvKziJk6vX12pEDDFC
vKWIWfC98ufT5LLlq+RdDRu/BZlAFJZMuOKhi9U6NHewBw6xSZwL/PrHpcJfC1cWdDKW3JRzj7uQ
r1hVw3zgtgZYHqWFjRb3sMafntABzC77PFo4HU0b+LmE81azlOxDp4KRDiSh9UJM7aPJHM2/sbpb
Mzks6w6RkjYTC9v7Tv9aTfqg8dhkKlEzhfNI27hfoWBgVkdU6ThPQQkdx7ldSufFWBdQP/Fy4Yun
sOQMvqUfQ8GCfgAQAjr9QcZ1DGVIn1TYT5TDVR26JKQ8qj97bm/aJngb+/ISSWgX9SKuoeicWxDw
NNLpWcECpj4hYyaw+BtecQosdNp3M+R9C8qQ+imKsOrkdY110cjw6PbslYAPfVidiFOHAx+FQPgU
O/xhhhzpptNLx4Pq2PL0uM7duWRJey51/xLN5R7Q0IMTRUdOkhsnRTrMjT7aYL1uGnNAJmjI1gjE
eOupIQdBcT+Oel/DdGJDtTeCp0U9p4ri6Ym+9mMPzlIM92UyIoap5K6Zp3Nk+7r4z9Xmgmp2t8LX
f3213cq3bx/mz2Pxz6/6/WrDko+XdoRRhNo5XEd/lPAxKWORw4QbbuntX682AhQNlTkA7QIPDZW/
Xm2xh1XdRRbN+5nh+RtpHGQn/3q1hVv5Dt7PCmQz+PNYPC6Q6W0QTzd2HusssPUXPS73MWy9Qqbs
pvE68U1Xo6LVQh4JsJ9sJE75kMTTp8PdnR+FAV0JDHfQL4WrZEKbmMmiMuW7YbWXzTI2dBzUfZBK
tndTXe4nJIeTBgcw1P73gVQP0bh+4Y3FpSPtQP02yGYNfKiO2xNp+wa/IkceJVU7xDAe8Hvlk/UG
aqYBbuqweDj6BpEhlHll6/QpiHCNqJp9Fz2Seqa8c4P5hsOJ1bEHb3Fc7nzuursgwbotgvF29vHQ
4sSOaOzPyAPJOisRPlrXLiPdII5u4OPybr2Dx+HTplb3RY0UdTEsLSlIXe6jWhpQpE16KNvgEcgF
MMg0HyBVDG0POdCEVVY1mBo8wA3wtrFbu+tzmH5vkHM3PjTFvjnFo30ZXCwaLc55YNrVSIellLgd
Bk7DefkY4YOPXryLiRPjbuPPzIMCkyZOJhPZ0cA0lFXrQfjxzVQhwB1AP9HmGfj1+zAs51jXe6de
c8xMWdd7R1AXd/5CFGVhdJ/gO1RWMUPGyIB3kdcmSO+jyn2v59Wls5t6uBs8XKnx9NT4watI0mu/
jeEZjCrYtYMHn3aOz55IHh2J2yRa3WdcOxIgtzivpHxqZ3PdDs6ZmTpFXkp+BA7/Oo/OY0uGy8zn
ewsr2Y2cl8ER32QqQhqGC/JSLYvpKnVS+JgsILw/QPKpaBekV/gxXSYR593mOASfXhsWMPwVnYZ1
18a6z/2getBcHCKRaOqyeL8KbFpG6a9ERSD2+yVTy/wWDBM+X17XQf1RNYWoewG9/73EJzI1pMkD
X+89GZ2GaDnoyH4fnUBQn5PHsGd7VlWoACi7W89FxMurxznHEsqpcWB2OXxI6ELgtbhp/Swsvkmr
crCfcIxYQePf26gt0rY5LG5j0qK3qj2VbGLX/qCf5/5VdkeCZ+61sRX0I4xeHLgEXW3wpLuF3y2T
SY9lLRuq437eB2NZUXeYAlxsniiWgWOOc9rPUEw2vUwekIi7kpdiKUBidevTGGrIWuE4J32KrawO
HlRJMEI5jDxXgdBF4A0Pbhqu0JcDOiskw2DF4zYXArBPugcRBGEdKHduJyNPVRvERTOWXtFO5FWP
oSjWFY+b5PhIqwl+Hp/BtoYhyZyqyQFLzg9JO0dUc34z8/W7jxhq1bEkRx5/58ISHOrGK9bZQ84L
Qg6AfraTcXw9BwG1LRQ4N/lShQohuBB3cALq0tpjlRA4T0suZ30rq2HXjg4MC6cH3tG31BntKUCt
xLWsZ1Dd0QO+u96+S4PrXpjbuRue0jo9GBIoRBSm9z4KniHivzRuLKlfdpmQpIHGt667aKqeQz5D
11vRaZEQ4C7lmFJA5VNWc3lxUeSA/9XPsNbDJ7Lha+sAK/Q7pzCk/gSN+9SK+LntqitpgnfTAxJ1
m/gmsukpGrQLhZ8TSrrJo4uFsuqW3jt4wPvEVxf88DqainWCEBE/NeMIwVYSm4VTwosuAZS9OkGO
l5GsVNRdri0epgWPXrzi78nhu7AR/CO392LAKeB7J6D5Z8T8LnUoTYbopqVywtBSjk1KSdVIIOmJ
yIPGQ89FbT8cviLJl3ZiZ4cU1g7oPlWmDkyHYTn4CgAJK9+cpbmgGOPJWYiPNPPyzRk78bAgfZmZ
aTq0faBos6R1HrPu26TdijrGbTPdqKcqic68bb9VK0Z15rvN46zMwVH+U+wPDfAK/DRkXO6WoXbz
pExwbEzHuGnLvIyGQytwO7T2W+pPUF0aic9a3yB9T6XLHHMyrgepxpVMFUGU9ru+BO301W96+z+E
PvxvUwq3Hf3fTUTnD6P+Og9tX/PbPITMWoSWsBSJseSfJQ+/r/ruP9DBj5UeuPgWWvtl1UfJQ7q9
YnzrZ4Ydggjy7zJhgP6HFA51HIaRh5fwBH+HafiBSf8BacAbcX2kUBDHcGMkpf+UcMCIwFyATvYa
gaYeJl9lgARwX+Yxbp19PCZvPQ7pHUgADhZxFYGDtEIy4MKPtyhT9SPVxH8knIKqb5tMDGJyi/ZH
CqoNjJluFbJRLamrR8dMfko5WRGd6tf+LpEccSoZompCYQ9q3RKtEiydNBYZtRVR+MHKd/ZHpr4L
UcICxtlpBCk8AMX9K4AiAVt6lqs/rzkZor7qd76aK+/UNCAIHti61NAooSf4hdXMwB0HnYygGdsj
cBLl4BMEhoSlK6au9PZjHXngyIDsuiAFnpGsHbxDnS7RWpB+WBhkyXSdCzmQqLtq49JZCxUABj+6
LUaxYem5zltf45yNIrMhHK0oImBle6/ltX2oicS1B41E3syIvfn7LsY/g6PVL+sUACRvO1YLQ2eu
42MnkUL8z9LyT9Py3z6iiHG9jR/mrf/rc7qZk789pxt6tPWDYTfBe6J/pPR/eU7xLnDQRakXgTLa
LMPfYqd40fD2imG8WBq45R99S2RV0bsE9ihBkGLT+v/Oc0o2SfCPkhxexrK9HC+Cf+CnafwnOV+x
ZBzlmOgbF8f5AdrYnjNIR1CSzkM8LtCc/f4yDxjfiLvC/Z6HWyUCBF1U824w1eUICx7g7odFSsyS
sSkiWAd4lw08wNXpTH7ObeKg0ClacygtzW3H0i88XAFIoCUgm931DF73YsLgkOgUmKbD993SfikT
prO1S65Ws0Dr1jVinNKeWCMQVg3C05pUGNWD+CrygycWQie3VXKXTnGdK1OBeTJv2NMgyYTseWzC
lk6IzwAYj8esHterSMVf5hJcsUfISyr1l2gez2ntXaZYPjphc2WhquGW5U/KlC51PEQBymm7/u+V
EjuPOa9+NWesYzvgVTHM3faCgfkFMeNrwhtBeTjvxxnoAz4Ub1YCWlAzSpyc2BZVtHJc51LmxGB2
W8puKZJEDcWItQppkObGQO5DNIEcNMfWBF7mepIALNg6eXtUEOxE1AEDGgXKETyVOf56S8rom2/b
x3pYduAgG0qYup2DaLfw5lgBK0YxQ38bDfET70pWtMHyElUwXaopbHNwaXUmVaV3GJV7iK3xHuU4
d2ZW8c7j8jR78oOvDbBU6z9F3HjAaP0yg6hzI8bYv5ZlfJgT9tBdB/wYgb1CBOUcLSihQDvQropH
2KYdkFG7isISOwIhTV54hJz90CmfSl3tYZKjUabR3+o40rmwsCr9ztvJBECoy4rFLocK9VJwi8W7
MeQD75H7wMTDDqwLrjeYdh47hgDU2BRikcEzCTHXIIwFvqysUArSnZowOsrQA6HOdyZhAHcQXiiW
efYzn0XLPvlhqqpwsMU0OndVO31P13oyWejCVXJBQa1d0NMYXFTgdH7WgZRKo42+8beEdBInObqa
Dv4GV2kzvwGrf0StArpcmsLdHCx8dPE5Sr9oMpKMb5gWBMmuqFI2F3U8wCEDOpp5G9gFGRabeijv
0xGTqF9iigUFptLoUo69hwoxrGuSCTwXMeoREgB9O7KBZOgJcXfYHWXmgs89L+DNSnBnZAPQLEi0
ZEPStijYEbNjT7mdwB+v4IkCEFBYp2+0xpMiNrwNDQe3JXg33rhu3m4IXAQWTqroqwUb1+u7Kgha
aoDNJUlTHudIX88likBGoHWpr78HvcTMDuiuCZq2iOu+zp3ZQUnZxuZN4UYkdiHL+ersgU6J9au/
wXzmIsSxB+BXYTuDZI+PwdiUb8tGAfpLd1VuXKACIDi3wUF53IGtyJ8dVn/UAx4ZX2l8toEX9imI
io03TFGrB8hYPiJ09ZluUCKb8bkjG6eoFSsCZM2o0wKCGlmnLo4/h1ceCEesV931PCLEgJiRKOJ0
LfN5QyKHstQZM8Ak+TRejaZOgO8BoZRp9cANPs1hwLyjkYKjnwM/cUQbEBBc1jtdthE8TsicfTOu
WQtWk3RmyF38TpSvXYnNCkgnjLZyNy5W5LqzwQGVHvMGgNZIAgE76O6agJwlGFG3dB/LDUHy/PFU
blASWde5or02RqCgxTMvdQqVtoh6FYmsH8R5GEY4c3YkjQ+6rlTwaasezSKMB5f/CJk/hMythedf
C5l0QI3/fzMP4It+nwfAG8OKR5bXJZAeo191TB//CgRwiv/AdPulaBIvXQGFjJaf7ar+KVb+Pren
aINGFVCKnDj5uQj8LR1zu+//MLgDQ8bAgdI2DBkBkqb497+keMd27pHO4uSmnwMXlOJ4nJagyz1B
oAlE3Q7tbJAM7fIlhiuU9yz4ZkhysYDk8nALYIgZDrI1/GxxOlPlKlh6rqHJ2g753I/XaFTr8yA1
KNPSw/uSqlde4Xhv5H0diL1a7Mkn/n3X4vwT3YJ6INj58Nb9i2qQb2JO/NTXqEaUaWMRjSifUHX0
JUTuC+DoOmfR3NyEjNx4U1SknT7FUH/qcCXHdSzhENZ+ko183iMjXvhJ+wnE4H6YWHhSmHvQTvie
VAsKiVboRo1GvxmeXIKMFUVtpMpJW2buDBIrbvnz5A1fazyYGa/5AUqToi3ae2jDiaEW4GhWteS6
brqTrANCJ2M+u5F7dHY0lBSZ3FSNAWLNuhsRju1pbizyDBXw5bjRNSIbBp6hy8rrPtJuDnZ2RQ1d
sH4m/lhfj0H8ba3wzW3Lht/5SEtQ3psPDhv/Smh5DFMHNKPfLnuu+uSmr2Z0XsYTfmoYyVAbaVlW
w79AgkpxCrY02qPlCI0RBmGTYI7Zncug56ytYLRjaLxrFMF5OU3w0BrCCneR4kDILAunqvy94Fvq
eUWGN5oxvIHXPDRl6eVQK4AyBX21QyNpuQsmIgvTWH9vIfEWiogLUITzasVNrbyjXdiaV03yWa4i
oiJugsLpK5IvwyIKr4yXPap1ZOEKqL64NBewD126twInucACt099JF0aZhBjRkbsHrhTsh+23RI9
6uLgumWZY8wltCfEuUMzZkCbFX/Tbo4iWmE43iUMEpdYJkiNmrWFg+QZoiR1dQrB/u6Zzx8Xv78d
BlcV3EkWqm37riU6ryoeQRiC+nVqU2BgzNvS+uv2Lap89XXqQ/GkELOjPU/VYRlQTeDPTFP4m95N
iPIoytsV3jC+75QYZzgkE6AsPgWQ7uKh+l43qKxyRVwWI2ucg2vFbghlUZYKuDACN7RJlaFAARoK
uhqNS6hKzA3qV7NoFNHd6s13Yh7uo6mpix4Ob5VJX14jqGsPyHJ9WrW+W5Qe7mwLJ0Cidu+qQi4n
I3OUS9NFx2iZYOc58bhPShXc+87wXKXaOrlrB3hs3J89D95q+23CnypenRrJNgjWfcK7vVMtj54z
ebBkWZTB2z0puN7FNMFqSMcBxA1qRlpEu+E6s6JSyjk5Abx4Qp5GcMoZWJ9HNMKcYqFup7jPHCe+
6sOvZeyfBx2NL+D7P6bIXubAcagCB5cn0zBdBlzHhzS1Ao47tFlWuxcfvxtv+Xkcg88OGUYMWfLK
nVyPjmn8vCaIoFdiTYANNt+hV4DIbJqjFssdSjsuwAmQmd5avFSTwCOsPOT0Ro6Kr0XPdEQZFmol
mqPqgWPGPQl3y4Ifodc1N4PDHuRcfnX18AphF6cgaijzuDbnavLe5jqKkIAgiDz3mu08dAl6FUFu
PzDFKHoMrivGeNmPVzD4v6DqF9yRE9zCIUiobmJ1RNcc/p/WxVxQyzFrrT4Pwj0g7qSyMSh3wtXd
TZXahQpEWqkzp7mdzUdfRptiXeVIHEevQHyasNBqvlK+/aaD+KiG8AUpp/BYNbCEzPqObDYSyHo+
4C8td9xHahoqZi6j+JoLnDKpdgBkQ7JNUYA2au/gdNFhmTr4yBUm3mq6Q/XxBT2/iCRU8t0m6SFW
5Npj7d4Juj1D8hg/UzhcHv45fOPoucz6avjsq/gWVQa2GPVytBs7MGxcSFDfIS3q4C4YMkmWM7fy
rgF24FX8UQJD4JE6xBuXMABQkBVakn3Y+qrsY2il66FEGr6SaPqFP9QDcgBq91EOYAlwjznLvk/8
PrmtmlpmLFL3bmXMf/SSn3pJ8G/1kp+vf/vrcLR91S/DEV7+jeAmLFQ3xZj0C79E/uEC104R4kLJ
C1plfxdLAu8fYIrQkgNoEp04P9Dwf7KPmJtQZgud5EdFLr48/DtiSUj+XMEBcgqtLTHQxxDjEepb
/jgc4e2nLmllJ29dGcOBCgY0xgbT8xhHbG875wYpW4PEVXVVSyQozJIcOhCK6PHy+hwW0YceqitY
Co9BrWSmvC7JF5IC4GHIZCTkgKo7+C/oPZi9w4S4c9PgPAWLhHS699qHNouqCWjPzAtU6bzxWFwt
dviIsWlMKSkAGgm6eO1VNwff0JizZwuMBdKj8APLzHAQrTmYND33ghXaD3erLwpni/x44XiJfP0U
T+P15HNUNJig2vPVf5MGzrTrvqBbJtzFZYmwcdcse+NJzCe4vWgQ9adwtuMuAaJtfeeQEoGgvHgo
R9tmMyFTgYnyTnkBw53Q7pDldQ8N/nBnEvt+tiYTRCGFfIkD2yYl8jvCTu1+8UMwNawm1FnKRyP1
p2yHOXfVhHO+F1fIiQKSQv91ocZWbmG3ELl+vSDylRS1s5x4aFXOJvlkAXyjpBpnQaLvuEGBo0rS
EyrJGI1De5Wqrdpi2MM1u6sQdC+G1cEaDiIaQZpPz8GU5GCFnrlqKN5M/yqEd7/0rUO7UscoFCNN
tkTkcW2q11p1+SQbQqukjrGtVxeEFc7/xd55LDdurV30Vf4XwC3kMAVAMEkUlcMEpYicwwHw9P+C
fdu3u53Kcw9c5SpbIkUCB1/Ye+20kb+6bjF36QJ5V02GeRN3FC1KqF3DkX+MU95/NHMgLxHoMZOm
djDR99dYvcFfDJ9Vmu2lLvdF1LoMwqkteoVnKc+JRIZsOYdoVKoyfgJkezO1WG4rG23tog3bKLIy
tyk5/fuZsZqg0OO47B0f5LC+LaqBXt9+NJSQ770b3AxYrisX9bMyJBd9mlxgt4USEim2Z5h9wgK3
ZHGN4R1BmoZjqK+3oVadIK5fgOi19rnUsQTvkpOcVs9N2iRoejMMDUnrT0zhTMEbFeOSuUo+7hpF
Pqsq9gQwObtMAfIeDfuurO8HadxWXXkZV1UA5tfBs4SLIepGh0WTgH2Xx2yr5PEJLvBnh0tNSqet
SOrZT8smd0uTOebMXzVb54onB4+k8dbOckZ0h2Y59eNlKAGFkB3IzuWVYpRndQx3bAqupMF0IFeO
W6QTiPkHmoUqRse/YO0zU2zNUpEw8JJi7AkO69aSX1oyVfRsUy08oQ+mX8jjV5xhN5wKzdqo9Xqr
Zt3bBG9VVPaXRR22r6QGhcXgOFulNPax0hj+EupFy2xDwxZdgk6VpCnaGJMWepUVi8CRoEK12CSi
Ke4PVZilQTHqH4PRA1GNsw+GSU/YHd8X/CebqmOPHWniPA+rCCwxR2/uzX7DccTICTSD2h6xcfRH
zh4ez3ZtUXk2jGLKot8bZZGagTaAxr8fZUCb21hvle2gzzX3Emgtd7KmFpjFEE3Kxi4lfXKbUdXs
nQ65gVGQBtThBAZlHm4duVD6W+G0koZnZKiOwkAw/NQuujpeZX29q6JeQaOBe6vSMz1IEoNuQ8aa
2EY3XYhErIdzouvlELRSO21tyTwa1pT4OHx1d8jN96aq2Cv1gAWKVH9CVWp78ch8UJEX86BVXMxZ
acPW1hl4zUb1gnz8NU5b1e/tlOHoQu3rxKOnxTRSegkvSZbHjMa2xbWOP22uO39K8JdntXSpl+21
FA4YEauXMRFfi6R5aAZTt0Oc6Ea1kXudNh3ieW/IyCBww7wmWYXyAz9ir65dCEEicKPFraxi1uic
Cymdn/NY/VpoTzj+UVqPBciJxEe1rs4Te2JKuzBqb7KJowfPhjtN/pQfc7zlcpbjRJ2qVxEtiNtQ
vk7SZHpNsjBrVouTaa36FMOhVZOka5Unpi8sg/YK9sMiz0cH2obHp1BThSHW7iq532r6yNmOztZy
EmvDxJ17KZTuejTfRvSoth1jMD0N/Vha1baZI3jxluacRb+Gw4c5QW77mkDrKeypuiqmWjCyFxc1
A2PXtseIxsi6SkR5OeRW4U11eAWigEFYh96ufzUdMW/obW/nXGo24B3pcBweIEY63IfD0PmDKB+J
ajqkUsZ7HJanoXHigLsOeXAP8BYtGcapqv/sHOeeAzqQ6/wiK+LeZaq409LqvhkTGhJrwkeFQ1Jo
Z9y7N45RvSU86FwSN0663B91g/sOMU64DRdlnfy2+0hiJj/3InJVw2Gsn2V7x5htxoWll9pqs+2g
D3uJ3l1lyXCmEgkopNk4KLs6a2JPHzC1zoPOiFdGVIw8uiEzIrS2UsR/tcYUrlA2bktJUramGtv7
ng/UQxB7JdfYfG2rPwwlLV5jOgcEKvd5WcmbueIhyJEVSMkSbWmxjjmzYQDJdJEtd9oxUtSzqWAg
kDq84RiDiv2i0v+OtOaIaZoQBpi21/XkHA/pg4TTJwBBjJggCTngDLFbcFm5smGf1XZcIJog4TGr
6Z3x6qNmNFddyQxC194nxs11Zz5VWfRE32z6vZbsw6J+ksEoa/hCha0eNXhJmjrD98hXVJN4jUgH
GSz108mIGxkSulQLLUYv35b6eohLBsqQNvb+HUn+OpKkSv7zkaT/mf/fCSr0H40l+cHfKm+ibJDl
y9TevxqPvqu8CaTDL4Cp4JtR8tuacgVOwumHUonvCI3litv9VnkrpBGCNMAqZGqGhb/4H1XePw0l
eYCwJ3XwRcmOxon905KyD4knyJeSUAG6UDlLLqwo87Rx/rUz+1P6G/X6Dy/EX4JmYYU6sJOFJQhv
7McCH8pYRlmbiTMiiWzfA7XRN8YyrBk7qMfUKIOwZNFq9tWVMw8XTVYjp2k5OnGyewJW1yZrlew4
tobjY/oBuDcjOwNpu5o82yfR1bVX2DEC+nWaGHf5bc0Lemqdn1HvIDe2OBXtRm18GzaNpzEIY1Jl
H5uCOBbmqDQN3YIqyWQCl5VBaI4BmtneHziE/S6bGKfoj5JtXTr64Lj8mU+xTm4Be8hb9iA3UjGd
JMk49YmMfEfQncOo3EOtQXhVRGC2lXsk1Dk6v3H01VWgPYz9NfCbgArn0bHbTzWyXqJifm7XbWA2
WKj/5+RstOHRBOwSYLfdmU7Ybru45Rtq2/vKjHaJjYoyj+MjWSVvBPlkwVjIBN6M2DLzaqp9aVhH
YuxjAqVfXpSiWAHn6ZVuwy6fc7BWteY3ZvYyWMp920WX1VQMbqWgr22GLcD9HQtAibkrRDKB5hPb
PPCxWDVupZn6uugbG0XWi9OziAN4PDT0Ad2gUx0wU7FXKSdH7ZYV3Jc9U2LLpnEpjQPy85Kxb4OJ
Q7HmkyrAIs24RkSsJEGm5GcoRGlAi7NdSHaIojBye0XfOiOfbSwyzl7TGP26cV6g9O8YkN9U5TL7
2tI9JCYUgwgijav1+W0nhr1iZKPfavK7THiUG4n5Iacmghe3XKkTGIIuTkfgOe2HkqsfqsgxZ9Ak
Vrmzh1Oi4NQQW+bj1wV4wcmqzAtLWyi68/J9Seun2OpirzCrOzwSlBaNle3EoG0ZCnsq5F/GX7Bx
uMRAI+jELClT3LyWKcqWYLGlfqYBmFoKqylDTTurAKJ38JVKX7ZEoNhinXW1ZFnkBr78WVlVdvtW
1z4EZXZiKMG4sA2FYFqPD5mhrRM5QZHmGqgY/WFSEj9L1b1G56Mw3O7XXa/dvOL0uVEy6dN2+Joa
1PsVVyMz2JHIgq6HwyD8SmTKXioMpslivLBpE32JgayRZIy/ujFZHX3i2UytbjNF9WWUyKHX1RPu
ohVG1V3UKR7ivqPT7p9gLbKpcxBlpzLMruoyM7lltTI74zc45pK0X3KG53EUx4gpZ9YcY/JhCgiK
qUg18EPKDXS47UQFkuEB8qaBTtWsn0S7AZayp5AGEybtZtN6nVL5ZTF4Glo5aKg5f8n121GAzB6G
Q11Fbi7hQSlbTw3Yu8aO3rMb1DZC03fU2kGrxMzhl3rcalbaB7LCdiIa9ZdSV9x+qoQfSi2doqi3
g1JezZV4bquUKfWsP8C4tS9rCRrh3ZogENmIuneVWij53x2jP45J1lOUx4WOSQZNC0q3VWX2/Q6p
6zpND2dzPovZs1x9Gx6m2+pynxJD9Vo+1ptszyTQDY+0KIOfbrX9dw+4/9KSvk9LW1dU/1th/ffl
mR5pqNjUNaX+x5dvw8EYJXNYzqP1Wod7R+6RVb9IVeH+89dRZYWdHXkxuiyvQNzvVmVOzzMrAQp2
VpILgLwuemwn2mPS/JvXMf7g7+Hz5BmIgwFC/Srh+e51GoQGxqDE8tk0jq2JQZ3Vs/7413+L/kff
2fd/zE8vMqDl71Ss6+cx6B4gsGzGnfxh+8iuq0syiiL3pt2w3wrU3f3J9nP3NF4mwUO3CTfX6UG4
O/IvLnqf/9GvAv7ZPPz1+1N/pAv/+qWufmNLMxgRMu378UPIAZti+JKVM0vAE2aEjXypPEYHWKCs
5P3ZPTwr28k7NYHYGYZXHGm+r9mOBOAG/i0kf53fKlwTf15IYklko/XR/36Cu/7cd3UkkjSZ9TUI
Xb4pCqzf5G6Ay7mEQXHIxOqw4/5+grsCuLCgatxFmMq4A77VkavtR4EXvP5W+g1I6P9gvf3jnbQO
jhlHIEpFAUtFi9/1x4uoH9hKAG0V50E+RCTkzDdVt/3uQ/mDw+fXYvTH40dG76o7OM7VlQbCfPv7
21WRWi1Ns64+a4KSrXN1o+OQjjW11M7Mh5txLSmm7HqpEtM+rQzhpzay1Ozalo3Zi+ViUolPqb0O
iGQTg6gL842pJZslUWZ3WDRvnvNzCLI3ryTQwg7rluq2l3lezTFS/8a6mZJuh2ecaJkCAmbSK76h
NwdQdleSnb3lc/YqsRAd6nrPYugJVRUNfBJfRX23sdV8b8UACJWp/WoHC+RgIvy80S0Er8AmJR4X
LgjEXTPichis9B68UqN1NHjlU2TKe9CDKJeU+gAP5DMHQO6Gk+7Wc/EZ1mhm7KIGFyZPrHG7NsAP
eRH2lvDtskVeIEg0rC35berKg6Yz91b08m5UogMI4vt2ivEPJP1jVsydF8/iHWfBYdbbMmjS+rKM
J+E7jaURBkTYQ1i1t21C32zpALWiWbvEl9J6fadd5wJP6DIOT1KqEWoDk9FQLdanav+VWpBUyFKo
kCtWNBv60RKtjliuSdw8a3DBQBt3oSVG3pQO5SapidFQRuZMer08KqCeNb5OtxqkG0NItNNqficK
JvyOnT1LTauDNan3DslLp7wXisc45UByGdYWpdFdxY6IbntnWhE4RCsR66l6+tR0BDGWj+GC2CBs
bLgDkXJo7aH1+xE3jmW81wlzajG3x8HS320gkD5hGV92gdIxInDPb3rnLmrML505hczclDA04Sld
uotViGIKwUhVVJxHtXtT0hQwsN6Th5SV+zwBiauPfYCXIPYGjaJB73qx0SXZ8YxyOJNydj9GA5vZ
vGcSFbcbRY9vo6nHL2FFg4cVhsQ7FmhjxFCp4vtz7PRWZboH1oElqjM+ZozrqE7MrzR1Xgyy2iid
KXO0KUMOFcbZJfF+rRelSe1xrtxH8Cvx0NSAxbSrCCOLH1ex4GKdXvBJcfWIBjmc4POwrOU5M0NK
XiZsY1p+6mhCgrGV77Mov+8ShFqTtPIcov6ysKSvXrKfWeyjcssYy2hKB4orhATJUtus0Hlrc7av
fymWhN42IQ6J0XPoupo7IxK4e8yMq9zJs/sM9+LeWKb0bGrirmnUnbTUnwVgsSSr8VxU9Qds1aZ3
LXQvQ2/TS4j+OLRJ+qjrPVvVkGmi+VA6m2k7x3N6Uay8H0m6aYfUgdid5iSqhgWG7RGRpcTew4d+
XXldbhjuwvUbaTWFqHap44/3rBb6DLvzmntzlfSdusp6wuzzyfqgcTnWsLwtSlDkNcKY+Qh85FWa
hiNZqOglh+dowKbFmXPTlsoGleFNpWh7oUg37LghEUUPamY+d7ZBNpJ8dES04t/OcxET1dIHy4AF
0Jk/hhG0M9sqP+v6bMPq1ssYOVtdyxrBNhhujycL72DbZDmD2cWPE0O4lYMGP0U4HErS1dy3D0Xi
ZHjTus8OJpraTI9S92kMXImjaQWajmbEC3EYM34NBVbrdJglaSOPs/VgReO0bZpW9dIIsSfRq31N
zCmWpEpHSLgAFhtJkfHylHPLzSq9Jv0E0dC2n6vWs3O2+bZWPGRNFwBAfBIif4Bp8ozdTLuWB2M5
88BrgjZvXhtV2cet9jGF9hVc6pOD9XNVDSTYu4FMJ81os7HIk6BYCraAoKAvoyK+TaLoLVVBExEw
mx/bZbbgE/TUyKVMUk4fP5cq36KI75KkSn1Hkw7D2D0NIFxvbUkrgnDte5g2dqgRePbABeYMAOpk
+t1Qs9tAf31nptrsz7MjNlELkI27vHsMnW7w9d4qdtzNtt/kva+b47gblV5sQxWNllZU85YYmdgb
cyAIUZ8l3OxEMgry13ZdNsIw7m9IqvEaU9mmoz66lRRCA9RgSprKXW1UT60y3Uak5OyZSTxV2DAI
cVvC018/dn9fHsq0gqgcsZ2w5pV/erKb+VAz7WmGc2WjeFSusFCavGsDrUL6d7Xyj1XEWooyJCOB
gVRAxHpU5D8+4LuumnpVdOJsh1i5Hpo5iKW/KXf/7iXW//5dyQ/jIs/FkItzzY0JltKNxxe9vv3r
z+wPX4SYAxjPJjXWWnV9/yIdo+wpLYU4a+1dU11MErC8v2nFfv+1rPPE/73E2qp993f0Q2VHij6J
s27fFk2wEGpFFVJar+n8N6+01v8/Vl0/vtL6Tr57pTwejcJEznxu5sVVSpPxz2EoLsW4GYvDUvyX
YPWno8Lf95iKzcQTozcwJlbdP7UjxF9NS9srAoHKk4Ln0jLvovg4F0+/fEX/sm7WZvnPe41N/n9+
1cL1/X2zsf7gt2YDJiBYK8i5ms6Ujnr+u2YDUQjtInA/ld0al8ZvzYbmICSx2NbjC1lH1qsj5hsq
a7XdqDohnfjgsGX8M28NypQfrkmDdoXfwxREBgdgAeb66SJpopBQN2WE66tXD2IFe44QPiXG7K6V
du2ZiA/wnwzmngy97lFUYEDvLe52u0DL2kljiQsUDSyJRi1jNf0REb3ltxBKvFpRlWABMxAUK4yf
ASzFrT5UmyZ0RpzpAEtTyKWEGJDaOdkxYA/r3qEIYYJVBua61rYgn3LYRbsWFmqfTI/h6lcd0/q2
rWKIslLi7BQ5ei8hqU6afEQTeSLTFoDmClslNVgJZoMHZg2JNRfJdl7RrBWMVra6z2GvHnqz7ghJ
wP88RnlABUoRKShDEIq+mSSB7voV/9oSyBA41fRpVuYnmpvURyo5+B3UWGfSnkq1Kg/1kFewqexX
dYyv4xU1y9t8d8riKjNQ1Wmj5UmxWeH3BnyyUWVli6ig2hpg9VC+BVGFQizEK7AYJL7nymZaEXxV
Xm/xz39YrbgRZhbtiPWEujAaJCKQ6euniWRuBmm6Yg2P3ALQXwLwb1zJf7qqVGw0ccSXKxcwBRCY
j4I85f6FCAAY6BoMwQGY4LJSBW15frBzhJnnqQP0VffTgq6P8ZtzEWMtX1aPeUgXtunSgcyMiXpD
X/JpWyQ4nJokdfb16lTXMvUejRte4dXFrqK+WZDIPC+y5dZUPc5wN5h5dIK+Ux+WX7zwtBc7nsAb
kco3Cs4OBpo2ThUsPm4mJw+r9Qe5JvZ6jfRhX4vIfanNevKNirwaSarOUco60MShj8vzjvAXjBsp
8OSBJQxefn0o+YjJaw3T6bE2kg9LKy5CKYX/uoIARNsXriUNr/oKCUh17VlS8xdG+WAnI2s7O3oF
gDrdqTLGoRU1MMEckFb4QLPYwUye/QSYoARQQEQ3oUEQCwgrui2W8kteWQbktJiuufIN6iwiMwvk
gQL6wEDaNINCyOP+YgaNgJ/spWc0x0LCcRsc3A0QBRmYwgRUYRYYs5tQfYgKeAtxG94RVnPsUz6h
Wo30QKuZkWdgGkpwDSHYBh6ki5tHecrSnfE94SRvne7ciDY9RXUbqOGKvrbGK6HoN9rKhSjC5LoF
FAHyz0PXdoiATg+mOOJkfYvm/mFdjUSlgarbuIoBT2gAKGo5YbnSzU/GgAojjaTCzRKkihxzIDYb
8hSJ25horEdCbpP2qQV8oTnjZaYRCg4TY1jhGCOJBl6jiX29gjO4YBGMS/kNquq3eoVsWCtuYzFt
xE9YX9FJ2ptwhXIQvFNgTIf2tAI70rpIicVAy9WBJV7BHuuJyymlVJsM6kc1yBhzml4OBoggkYwO
RAF/JPMRcCZda7N5mQ7Ou2ECE6kt81419UtNRwSjrcCRca6JmV2PuBaxDZv5WxU6Sb5iStQVWNIh
4XcUI98VyFeUFWoSrXgT/LmPwxLdKrL+Zq0AlEi1L2kpQ0RPkoQJOL9RLIT4GF8VAi2sN5W0lI2y
QlV0YBHzilkpElWnv5gDtvZfbb+Et2mzpB4BjnflimkZAH6917F0MleEC4Q7mKPJo4jHq9aJd4Vh
fy2M2zc9pkAk3DKS+qYmka0zJFhh3VI8FngVostFjRBgmeMKgjCOht3eOStnuF2Jw2RavZDS7jBf
GDUwBMsT9ANKibF7M3up8ZahPetJfopBGWsgjSfQxsrKONbK9oA7eZNFek4LaVyDNL6kGSfpeCUk
p6CSbZDJMpMoRP9QlAlLl9kaDHcagOUkJCYa4HK6kpcz5I68m+XJWaHMzfxQGOK6FumZ64EPAXxz
AcZ5MVCg9KsZYJRLVvdYESenvy2BPysoAGEqHHV5ui+xYYe6cTaBRdcObAKbf5lWjrSVk7Q5G7Cl
HRNgYpLCmy5ltaexRR2V1DuUKLt2ZVNbRcexY0JvXbnVyNPoyH9hWdfpflnp1lJGHsovvOuVfI1h
RN0j8058J4eLXa2E7ExuIc2s1OxoYiW5crT/rcp+lRJQofx5VRagDS//qCTjp34rycAqmxQ+7P6h
Bso61dpv81/5P/AFiGH4bZL7TUegWf9hsgtkUPlFKvBLtfatJDMAm+JztgwLmsEa3/tP5r/Wyj74
rk2gJHMgKTkMm4ESsEXQfuoTswLzx9SH1gkC2yHqm7G87IU6m15ajHVNhlEywBwRXUciVRFND5Wz
Mjkrp8Q90Kfx86R1t4QwzX7clZkn+mFL3LTPzo8tqFyqzEFy1IFO+sa0CvFtaSQb0mFJXiEfBeUz
Et5ceibx5wY706MYKiW77vET3WI12Tliwt2PyBYtJWbMRDplYWkLRHYN1hkpep7rPj6HYZyY5zhH
4miUNotdHUqf5pqYoyvfCAu5vDNJAgtCzimBUFgJe2Llujh5GHgQQ6PKxGOmOjHmrazaJXGawhuR
20siow5iMG6MSJ/R45cP8pLfDTpK0yqu39XVbW3Gwxv5RInX9innmfYWr9E5raSfzEHFQD09DMxu
PI2CUBolXyo4AqJVtKrXteLbMxwWhEP6OiV8xNNqs5POXtTIuM1scZWmhFnOUvKhOtZdMeifsp4m
m67gQzHs/trSMp59mHx3gt+PrKvOXmaNrJ9MJDt5YR/crGv9IrfvgByoAQrNEqMoo8wpVXcxxOly
HFu/EAkzWqYTRsGgltCkhQCBrNyoaUPClzwDylKvw5WQsmgxukhd3VUZS23VzoTnzJO6n0cFQcIg
f8iV49tDVxB5ZoQYeLttUTqvUVwdTcc6dhrsxcTGmYKe69YKMWgQxhlMofQBUybI5WkP1voUtXh4
8Kb5dYtKuCjXPPOw/uortsCovTN3kIp3ETsT4tTyiUsaRZszWjtzLf25vK51kERub1en3kgl6sbw
TIbbtRERFxDFyk1YS+zHeKK68tQaHm6zzuN682MGMwMzJxch5qHnG+y7IYAfm2wnA9++KTfVZin1
fTHOV1NjPCpdf3L65C7tkZMncvdQRPHNGumENXjYKpEp7Tm0EZjF7c1shXeYa66XhgGgUMieh20L
YytJZl9pw/MQLrs5D6W9NknvbSPFvqzX2XY2eEgtipPDHIAhHBndlgBunSXAvByq2rpKCSELKpvh
dT2UmleMeY8ZTFzggf+Aw3tIBhuOeZdcmkjd0UdbR8i1ylZ2kO/OAEAVbgBfV9JXGDkimJ3+ymn1
pxH8msetDsVsLhgbDNoXCtbFzerqZlhqrx8swJeQdS1rDfsrkWn32XiviqXcSTpXZ7iWdF2efOaz
uvBwtJ4MYdyq6CX2Y8W8LG/VPW2i5hO3fRGPmPNMHUGKXOh6IJr0KolMRqnZTZGPpyjm2haxRXhL
mm2SwjmrUdkEZk4/IUBCwemaZlTd5h0oqhFTuvwVqvqLrOXvsmasukae81FPPyGpn3onPXSp5XhF
UTwUolc3qgMyGQX5NjGL52rWj4ZUzca4giE7/WDpk3mtrapgP+mYPM5x86YJFg6qAQZ8zUYZjObS
lKZ+s2R0V+Py1mrqc2M72s6R4UvWjnVehrH07T7GDN9irjOhYroQmt+JV4BoYvW3cdmzY6nlHGAX
kv3BylLOWu2lNvXbviBhTZCrFJARKvyWEGs/reuStA35NOLP36Ag+RwXMDGlQWWZqqM/IsXfZVnJ
IFjS2TCgDHULmY4NDx28JO5kpYMBL4fCOCWTkRAy2EzIq9TY19TmRpQUMDMyy41CuleWlBPfU0Kg
COPSxEiZmaZxzYZA7OcifClKdLiFpBcb1UJrOWlcrXWbvptWSRcWpsvGKMMg0rV5Z5Zts69qPchA
OPixZeaBbdP4cR4u2zJtXlpm3yXj+UiE24qS/TqWyE+EJ+YQYiFkBJGFE0xSCdqUcKBrs1TrwGqU
PeF8FynLg6AvUntLn0zoDX5eLxxnnA/D8JE1chrEbKkOag1n0Kgx+GdTVO7islzuF1Hw3YhZCgwI
G65Ece9GZOC5Rj/uCXVD6aPYsEQNcsVy5xA6yxGVaYEGlP4mzJZrwrh8DLeMni3zYuno9OIBngX1
/7ke4rtSReTEtDsPao06bIil1ku1/t1sCiyapm5vJxux3KxEvUfGyYQhID73Cdq+cJH9DEbitq6X
I0zgC1JyfDhd57GFtKnhpQCPS7udWO2JGPZ3GwRJ3oUMJCyHNpXUaSKGDCJJ7HkTmhHbL9Yh6LrF
gzJkr1UmnfM2uc2IxPFkFB2btFVMt9XrzxzkalTIetBrOsDgBGH7gHsTP4f8XCd0X+OQnEJnAI+h
yKMvmhZxfpgdSxs3Szql0UMT5z6O+meTZspVuXXJuvzC7vpsaBKkuv5U/6K86ov30FCdDTGLmesU
+QPzUXSFCboqFa32Iteyz3j9UqmhsVVVdsxbKhGdZ6oB+ctTFOUT0BzutvDCxvGxlZP5gJPU8ZtM
clOjfCzm9jSVKkLwuSiI4NE9vtBD0ylHIy8+pNr+EhPto8kEhejWXdilnwgNg26o+m1HLCTS6cEV
lfQgpzKZsccipVcZLGgR2aszpG9kyXnQ4GR8gdYew/J61dgR+6r2sHSCzi3j6yno1FNGP9PC9Zyw
RwhUVf/UZJJckFzeJmnE/8wBjkb6ImlzxdXRH8NhsZMtldsLFdg+mWDCU+mgjzMPi0Ha/VAnV2Zj
u6EjHhWNX15PFRml6TFjarXViv5dhysTWSGUXcgNslVArygfFI0HngOZyYiVwp9t7YSK7b4VmDOA
SrLMqJtznTgXoOFRbEJVGaBJMZ0zWInrxRbXI30pRilTQdhPdwHsgbyKAKs2s58FMSHQm9tibPjT
7BJmNHWna+fJRiohtpV6u7e0+CDm9CtWjCSIhH01K+m2WrYd1DbV3rZz6SvThS1ld3GOAUHSCehF
crtN05EsKotCRlveNFsgiY7ebBNbkYo5RQplTGB180pc0poaKcg3rOWxPXL73EUzYzX6twcFfwdc
Dtfu2g1y7CjfqfjDR1T9oa3V16XZFoQWlYkJbkM3FOkxHqtK9iaVAO0D+kKx2pnEaI9BlY/SfD3z
7ZSykUi+HqJUi/CcJL7tZIeKxCh3yljz0XNuFyeioa+kQLJSyN2ZJIJEr3y9yAY/HKsnHJggruyx
of+PFAIYU8Koy1uB4SdAOfZFPPsjEekGdk2FvzTpAzxz+9jSX+H5n3FlABy2UB/ESV8QOM8dkmV6
Q5M7KhjGqonHCWvNTObB1vFI4/tbvztq88GZ3ciJL5qWLJG81v2pt05jn1w5g3UBFQH0YJe+Ks7s
d45+QRwB1U1Vv/FsgQqQ5x6OEjbHiX7oB/lzIckWGKYMv2fEAjMOZwhHhBOsadG0Ei51jfDNsPxo
8Thp0PdZRlVL0HTmBSr3GzUbN2XPit4oKrHj3L1wBJLMmdUcbOVux9KUWCaVFzSQwmd63uE2QSKK
mczFm7+tVapdR8lesibx9PgqqzNOgNklsHJvtDjRHXs84cnC8Vb3V4WRfsA3QJ6lgHSak1MVySeD
5JG8HE+6CjGxIHC68dtWig4gUh+JCN73cfLcW/197VRIEhd5Q1DjZFq3KDA96t7T3KgvCUBXp5M4
GYtoz+Jy2adD/sIbvI/X1t6iFtzEgCaPnAovelGNj8WCG6Rq0uNEiKnfYYDw5mJhUYO1jCXiUz3K
aCSzayHK16y2wUR1PVeC85wbFXGN8WNBTvi/Df2vki6D/vfPG/q7IX9tP3+/Y1l/6reG3voPeimW
XEgp0d2tXONvDf0ayUSPb3P3gRVy1kXKN36Z+R/2HZaFYkv+5tb9X0O/cgYNC8gIa5EViPYPBF3g
on5q6HnhlYLGe1BYsDjyT0vMKGxkMlCr4QTfFlJWMry0M4d7lvVwE8ackNl8NTkm3lyFl0lrC99Q
ROe15XguumpP5SC5HTFzEAkaWGYJQUPYaq0FBYKa3Mpy9oGeGwdttUZ/SwKRgVAvqwVxVSgThl10
9VU5yY9iMV/UTn9yGuZ9NrLdIMzZPTtI53PwBJtGxDEmeTho8DPdpE4fDLt8qefqfiQWF5xEV3uh
aT60Tb8vp/Kxd6THsMTcblpXmpZcjll80VfJS1fZlJDU2bjtIPxG9qbgD0NGnJhbVa0OiAKeySqZ
Nzrh0fxadMZNLna2I+5ntW43US8CXV96X02BrOqCkV4m2R8N61Pfzs2LrkexVC6ZZ0fGxsjsm/9n
77x240bWaP0q5wVoFIv58nSzc7eiZUu6ISxZYs6x+PTno3w840kbmPsBNmYDo2lLVjer/rDWtyhH
v9etdxMDT2bQizhdLNypYByv3Gp4pHd+ZWz8FNTyui2LVxMeKJyVBmkLEI59yzUcVh5jBnRwSfic
yW7YVJlb+Wxc4BpX5euoe3iZVOdTu5BCLY3ZVyaVL2KJZs1g6Ny16bE2g3MRZv4cU4Siat6KZjyG
nrcPpXWn5uEd1u6bkzefjTjElzo/5iElq3D4IXmTPNFYq3GkE5ICepycavvWHtoLbfV7RnYAommx
KwEqrfsGsXQu5FcztO7MTgU+qVWfzVC+99IeDipeXm71/dY0+sccXEfLcIT63N72XY8sp++SnW1n
T6WZpFtZ9VcysujIUrgFtU5bJkxtZc/pVgBxxHshdsQOsElKKzDVFe8agBQ0+Zbtfwxelj0IkLZ2
F7TVKQ6gyczkLLAABGRpjfOdk1mIM6xtX5v1mtYfInZKQJboJoqQuQUR1vOJs5xRI2udD7FqeQ9z
WRFr3Mz36Pv5roW7DYNhG4j+fnaNIyMHA4B3hi8QTJzPooPxRJ++duX0SIAvqiW7ehE6F0JRBuDx
AIWNIt7bNeqVUov2AjSzrzlI8IUodzYMGOLK+3UrNG/fRaNaGYP7BsLvjE1woARLqg2kbzIXFck3
tI6bMJ8AM1tI/mge+DQydTK6l7b3Krpd6nVzruabfLLlyWTC45NHhuY6+5hnpUy2mNM0w6b5mHfx
a2D2JTsnRBISEw1hf0zHYEMwKTO7iqmZ1xDtzV4ld25QmzFXU3Uc3Rj1FD4BNdm0GR+hlRmZwVWF
xCbp7H6NugxjXLiPHC+8j2qhrUMclbeEl4KdrmNjA2GQFReziNmfXLutD70jAvg98dSR+UCrDktX
sc4Ys9sSIWi9E4khH9NRCDDGRdVzzmSR7nPTvoqwh8ie2ooJPcXuIkcDMU0ICOQdJ/wsPnilMhhC
nJnGTEdbi9wOnlMrjsyLkAwNYbpMffWfAvrHdbnIhv75utxlb8XfUHmXF/28LaX+ybW409AFkbHz
Mcj+eVtK+Ykr0uR/eNkkkoXfb0tkDFyT3m+ShN9tdIgVDFfyZ/EPxP/4Kf7Nbcnt+qfb0jK5eIXN
n+nifF7+uD+oZKDGAufvXe9a5g1YGEufq13zEapiaEUkN1ZE2PUzK77m1viIYMmXNJaZWBY78c5N
4aV0V+lLyl5O0VsPsgu3yjRZxFRGNi0BNDPXl1Fv+sG7Zar7vsRlI0IkE7aXCBElrqeY0R4feugv
LhSYqdL2Wpy9WA3YIScpz2Ey3qYLOMbuGp/x6N4RRNExHYaPhM92gc3EUGcoVq4kA4NYcs2OC5im
F2qvFlRNoekvCeyaicjWQ+M6jxVUm7kZX2kfLkTiZDDuiZd58oAodgsMhx35G7AOP10wOckCzCEI
pL6e2SXi1inWctD3NXSdYcHsjAtwJzW0Bo0eEB5hkNfQF4SCteX8lQH7BdrHItME4NMsKB/JBD0y
AWUZfbhtFtwPHndnk0AA4qw6IelAEG4CByKJ7CmHFtQnCUOy8poweKyDeWBt8xa0ECi1A4kEDnNU
yDU6xidfjIveboESVQueiFFxvoYhh7NJ3eZWemihk64ILvmu8sFdiQVz1JQBWgTMQkaovhGqNMJW
098hdwDF6A9jp87JAk3CfY1q9gOktCCVygWupBbM0gRvaYa7lGvF+Mj7eeqs5zkn7x1MA5RF5FDJ
kRjc+3EBODVkM7U+/qA6AqxY9HR9cRoioM6yMoKFSMxEfTWFCz2idU0apCHaxa6LW4y8Ju8iyXk5
OmkJlIFW4cDvpRIbU8TVLgpc7z4AXeStM6VPKAZKpueDpcxd1VhmxsU3hTtdLZJjp2jk2cmy/qtb
2i5i3FQ8/rcO/FgHmqje/vk4vC8J4/mbdeDyql/OQyRYum47NmI5Fny/dw+ch2wCXcMxbQPpzvKl
n90DMiz+U6RYWIg/mIa/KrQEWiosIcaPiLN/tQ6kP/jzeeg4juvSqCxGMYkO8o/noenmSYNDX12T
Rt7cOGwA7mKmJo9lZsqjGtP0Semds3W7QVxGVQWrAXy3DzBn/uJ4I8NsUWY7nEkxO58y2Dha1/AZ
r6ONW4urLIs89EJ6cLYsjwOVvSO5KS4rjX5GbSHKatpr4GgmOeNH7aJur8Mzf2U/X+zQZQbga2lD
mqqdnvMoCo9lTRCnuUh1JMJgeDou2tBGffFkvY4y45sKcufY2wRrsT4aT0VaehtY5ERPd8SATpm4
To2e7NI4TVnDE1vFso7JBFv40jM66sZkXmgNSfJWsbAxb7uCJMd5DkGXVE/RFAYbZh5rVOxHQqM9
HBBFepBs3hCeOfIm1EO6AcUWxmi2ZlXcWmUtNrHotF1nhzNKtt44RpFwNuBpT7pWt4e4Mz1fRJG5
S7PC3AxSBntb56iCBkLNT+bqKiiH27lJwCuSmr3qNYI0NMvaJCnaKxl6V4kBKmhQ/Ha0Xovu4hGn
cB7r+nXbSuhKDnaLOmqPvUye68rhYMm6glGdDVUwxEUQ1nPH4Jw3DIhCw/g4FZiq9T08+pXSoDBO
1rADzkiHNffVt6EMk8vUmW9aCpexFgwBc1xN/gjOKU3Ce1xRt8T2GKt0mnZyyL7IZCQ2xGRztmpk
dj3U+k0p3S8ibB1gPARX0XhMksbAqbmUKr6PbbPnJP4yvLQteBmnyFkl6m+WVfbb1h7vhyiFGAIr
Y50KzvM8F9dO6KEiLHeUnedk8i7VKHaR3svNnBFFSSY56V7JlhX1dT5TwTPr2XomoTe4UC8WcBdy
ch9cYMM+jKKTHfR8pWfVIRu2Pzq0ish9xVO8Ky31UHv4mifyeVZEgeSAJaTKr+rUKlucxHb/it2E
xDmDkdU2KCdGWkXFU5HH6VmnRejJ4gHiUXmB4Tt6M51DW8aH/w7jj8NY54D858P4kFdvTfwt++sw
Z3ndz+NYx4K3WHI5XD9KUMrDn+Wpbn/SoT84VIYfXPlfjmPjk8kJLbDL8UIHCu3vx7EkhIIcR+gP
+OrY3fy749j4s2AWc6dpSSBqlqRGJZb7j8exE9VNMWm1ukwGioGtnpJnSSQCrIR3Mc+FhTmpEx1+
GIPt7rwvbVq+Ah1cQoNnm+ldIJm5ukiy9o0+ODSbtnwNBQPi0gu+AWa4T4M0v1EpH+J6tuXWsHRA
YKZoL6Vtv0cVAS1pLnP043BLWaWR9dfCCO/s0QFDrVvnmbnnQSuyDoMcO0e1nmz6xyQJyWXizsJ/
4Z3Zg6cnZE6F31aj2oKCqFZdDQsrA3qwhrGwYKyoXs1BHenUzm7ZBac8ztJtqnlMaKm+XdxoNuTV
FGns5DmRb3QYV2pcUWudNC+ytvGQ1G6PB9/UnjL8DpU9FUcn6j/rNoSsIGfezly/ojdV2lWT2K8c
UYhJye7iOU7e5yR5ZnjPI2wOen4YA8IXKzNRD+ysApbM0SUka/HQR8lbF87yCaMY+3z65u1gZ7Xv
tBnaQMor0gy9wjuhNdQ39ii0o1lN4mzFRbeL4S+Qft3b58ZxyOQIk3u8g4cxUp+1Cix+aRbmToBl
c2yWjzAjQPUL08bQhe9xTtmjmGKkiCdr46xHPVJS1UTW01CFCCeEkZ66gLt5BxVVUeXNTWM31xHv
3QCwN74oHZfbCnwZPTnaUzF6a9fTSCh0vRr1CKWldag6JT9rss/iA+fpfGyGwruO0STWBBK5LDg8
fgmAith1sGtIvfdB99KzRPahh/l8bw44W/z/Tq+P08v6n6fXZ6yYcaf+engtL/t5eC0Fo4m+Fv6L
KYmXYdz88/CSxidbYgzHXczx9lshCRnSsDEaO1gBGGB7HE+/Sf29T/x74DWcav8/9PZfjKFJsf1z
Icl+jAZe0KbTq3OM/fHkgno22XXd5jeFXpnmpZU9OWKqj0WO6lqNCCOnidqPyKXqtR7y57mcox3L
/XuTuRPS9hc1QN6oetT4yG/rChZM53Il96ZzJTq9xjbWZ1y6eGkZAw2+FSpccJVNeHUVwnQJ0vUw
RCCMg/K6Vd13bSkjLG/8TpJMuSGEe917lAusm08T4nJSAJPLsvtsRIl5j+HRFfyKgXaYr/GgfYdT
XbL5bV4G1m9MHdVOSPdFm/RtNHb6ypnCveN0V0yK2bSlUPGsenwaXe0h61S2TlL93rC6xxDD1o5s
PXdHyoZ9HRIljW6MZL/eSjGLqvAbNk0SaC2ytGjMbxlrXZcLAwom1z0shEVaEN9OUhxzYb2ZXb5j
BvCtNeOTufCkGrRNE4ApJoj8194+F81jT1VVTuD4iC58LEFTLVq8seSgNF6Bg702sr1u5virBc0q
pf73JbkmPkOdG40fdtVY4z5ndcWsD//uDJhmq9L4HtX0VV9pV/MHOkswsVcLTsuq3fyQ4BVFqIpy
axTmjWaN2Ym433CF8NwhbEA/JRF40GTBddVhdonqnk0aJC+71cAX1A28uO7olrDrhJdfV8r0INDV
7qGpCrkDPLZzF0hYE/cRmQGZC6cmavxkgYnZQ4B5eQGM6RlfdZTcN+H4JYBBRmzbjS36a1EWEBI0
r941UBgnTPHMiCnbKbBX0wI1M8cZrwecs1yzmnUjtWDHgxasR1KCBVS0aMGjTV3zkmjNnT1YNyP8
tDBxYK3LZEfC3UNOSoG3NOHpbD90DMhFHn5pIaHQEmL1nHFTWz2gtmFBtrn9/Ij4BaKgJKbPqb5q
C94ta8cHzQP4xkszylYgcMZCg9Ok2iA3R1Oul+95q+XruKwupvKuU5NNRIceb+WCmeunYdxMC3nO
GfOQZ6Vx/aSM5ToAUIdIEwsNSSvfuqBKfNGScWYsRDsjTb72ZKdl8YPRYWt3F/YdzxoxHtDwiH3o
dgVxgozam2o/6QSeGKU4kdgHEJB4tDwBUM6M6BbrRrRRRT37Dvg9nMUFvcOE9MFY2HxA+gJgfem0
yFcMcW8aR029p4INkgbgj9TBjbEQ/zCOb1x8QpiX3oGOkNvkmO/NLJ48eIFizK4qzA+L2WlltVq0
sfE4QCqt7yJSwzNzERapg1vOuDLQJHEzASacMGy4rbluXPUu2+YZYvJpLLvbDKZhN7Ch4J72Z4Tf
mAemNdIWuNALCjHpU7HqFzxi03XvFWOlVTYR5JNNzre4bp7Z/Qm4gcBp5QJanEbXZiW+8BAtzcVG
az5y6tZoUBocqbAaO/i9K51a3+dAPrUL0DFsWaJE83DsFtgjTKE7O5q+JQsGslqAkF3dZpsqBBLZ
mvXeJlwebSLKu2i676waElNSbLKJaq9OY7kpCqvhoSt5JFybLEDSrsspuCqXEE2zD6a1A4k7IHe8
rLx7LzD3xqTctQ1uc+lIEEkixAz1eht2bvbYjGQzByCFNMG8kmUBD7aVfIU3Q+80jOmWY9UkUi96
mYrSXrGp2Q5jceRAv1NmCdwUgoPPBXCLrB+pO5SjAb30LhLQEQf0DSsLElPgFscosE2s0Nm5jYbb
mKwilEOsFWODkBkmbhsWXrx2GO4twjf3c9G/tCWId69qgMgXMsIHUbN9mLV30uC4L6Im3lHk3Baq
fMF7DlAzc9w1LmOyTSfGbgisiisBqp4pIK5FUlvAQEJ6zNWESUxizI1cofslZ7ZVFWKb0Lxvqfle
CCj8Sr9nrskM2ZKkyKyStxyCAzHoIyAyyEMi3ILc4Hc6xPYBJtbeC80cIAW5QkZp0bmbw0Ok2Opz
J667hO49tsAbWo4FGUwjwqB3CW4C88YnNhvic6XNo08ixEVp4G6CERtOKEZwvKn9YHUgiAv13Sqt
mySs3qbFiNWayaMNqBbbkcZHry/OOnKeK8CXF+5/XBVA4YVO0kBWNWtTSSRxrigf6yzJDu1cPxiS
Bz8rjK+aMq+7uPs+1tnWC5IHLntxiglRQVHhHdo4vHbi+jPJQHtDIwPbiQZCqfuyXylz3AcW2zOm
7KtyMGEyNADApOO8ImfSfCz74bouq5kFpnuns87bWFZkIiOaCjJrAMyR/RgcRKO+2Rofhi4a5DZN
XYIbIfm6gXbEJ/6tSRw/TDW68KTalXXJ653qhnQsnSkO8CxNBwiRTMBhu/iJYSnbpNq+Eb39pTTt
XVBl034OjfdEjA5nLNB/SW2/caeC6E+yhPCqtOkKYSYfv0QnjDVWuKZm/ckmuwMWFxiSijeWpILW
j9Bf+4mjRri4yTfU75c0HqN1hyxsDR7kFA+gG8yu2akZckhvWMm6F+k+CZH/ETHKfdcB/Kglkq0y
aYCceO73KNSgyrqgxwbdECRZAqIr0aKWeCA5Ve2vOYZiItRBfOS19jlqxgeY1mixYm9djhnwf9TZ
Ye+SedmWtS/hUXS2U28CCBV9CKoiF0Qbw64IwYCsjRacRY7mDeUJz5MB62IKtcyX0C80KiceSIAY
I2SMCkIGCcc89iAzBOyM2hYj8WTx21gNqMjsd1tonzUD3IazgDdSL313Wmz4MpOvA2wOj5scPZf1
2g7Ojtat8Qs4HkFhFL63oD0mO/0a5nm7xp4m126PI0HLWc2+CKggFAYmAFbw+nqfHCurgZ3LOPxK
xuUhWLAiLnyREMzgKh+Tz3qDdaeCQeLkoIolVBIT0dxEzYWCf6YZrcpiUy8QE2Ux7CHHlr/Ogjhx
F9hJCfXEhX7iugp70AJE4bl7Z3gKh3aBpeA53AroKRVGSRxz+i0poA08FuNi2HG3KayEsIC0uod+
i2zR0Q3Ky4lzuiku0wJraaC26G73miwYFx2eS72AXfJePMxouCeVfZYL+mWEAVM64mVYmNHuWLCr
XUAxJcSYCnJMsSBkhEIa5C1Ymc5O3jxq42jAwlpBnplzFIkLiiZs5oOETRMTuEuQ00O1cGtaqjwn
5eiLFqZNRGjcjlxIfkiAN+jk3+2FgOOUE/nG1HwLHycGlAPt8BAAzonS4lvgpi9J11+bgHXyhbDD
3nqLIoyb0qj3aoHwAOOZLMZsAXieCUxPZXqQYzXGhslNt2B8Fp6PMqJNBOAnboZzQ+PbAzrJLDHI
Y5sg1ao/wEBZMduP6gMXVGvWkN5mVkeQhMJS2FuVdvyvB/0xQaMp++cJ2ikuwvavHajOi352oAie
AFFZ3KYUKzqwyl86UPHJYGNhGwQE/KEHNexP2DqXHQPxBPZHrupvPShprIAkMCkxjnOo3P7Vctf5
yy7DW/YoEFKZkthYr/7MnQoM1D6g8K+IVDOaByQRWY6YUOU6taWGrMBlJxlfWjc1HqsfwgMkCAKW
tfchSmg+BArdh1iBjxbChbxsEOP8kDNwWxubtg2OBPmgrwLGPKe3JSamCjMT7s5nCsQOcI5xpWxQ
+ObifJohduNXjV4gmXMQLf4oCsOIlD76NqxTPJ/pOpep8kdsVZEePFYfRquSTQTp0x8GrJSss3W+
uLIGq8GTQWCcQ21d9qorLqamSBrBQxybcYD5NhtJ2oOgGpAL8CLJlAsJwVl3NpWOXhXbdoKAVOac
dom2JyC7W01N8SKMJtlluGV9FL8Pcai9yktVqAtgcn/C5AZ+CT1UkAWf9dq9zcEve3Dik/lW7+yH
cWi/2m64ARHOxvK/B/HHg8iI5p8fxPO39O1vnkNe8/M5ZBJkwF1DZ0HuB7s7hjG/TIJ4LnmgAPgu
CAe+9HOriFoRtBw1u8MXxcec6Kcm0f1kQ2sD5OjoPDn/EjL3N5mqyxnA00i1DB/Z+zOwkQEutUtd
WNfpkIUnLczr4H6aSIjY0wOlu9EkEkw5GL9ryEm4arOD2eBqslhv7dOA+zpXEnTJKBgHJxkJmtPS
XJmOBVkNzbxrca+NCUqvNCyOmpdYF2cGasqGb2vnWOHB9Gy92X2zkoEGTGFQpPeZ0QZE4amYxlNS
ZFvNHaIVUcv9XTe0zD8n+zmbyGhok8jbjGjUM1HuZ1BSowzvar0gp9BWM31NMqyLvNl3s35FZ/qG
X/E2NtzrmYkFZJ57LG87rWwftdCtTkVQnuoIwnBkxgfdGx8zwsdcLbrPpfUQxu60YgtAikhqVPd6
Gz7hyjgYbrVJRPCEteZbH5GWqAaiEdNuGIEKQySOTeI1DJrGpkHe7pTeqTaAiaWNREuRXdXIydHv
h5c6N781UXfdwQvo+EVTP5AnW9JDqKA65k7qrPOSFCzPXfasSKkl0oqZRMhUArWrDN03HHWcA+3R
baJbNZrwmruEIrJA2+20M6cAx6C72J70gGptLPdMc55SEqfTEouJZTTzNlSko4VV9ErkY7NWlW75
ha52sDWOGYP+Xe7Kq6IyIfR3WeTHTfOlCiJzYzTvPdq5vZ3aHjEArGpDNIF4C961ieYUuuF1nfX1
ao5R5wxO/dltXDyXXraHh0FB1u69AXGfOZRrgjqctRUWjHtEqJ5VMR/d0PzuWK2xSYbEg4MxP5lN
dcT3+TyJ+bYGFsVk+2mssAI1XfQOgxrb3ZjiU2+Tq9xR+7QlmaMx9RbK1vg2udTftB1Ug1W4TWT/
qijLV0yRts6Qviqp8/WkWegItFEvA0PU80TnsxR9qDQ6EIrkmyzaDf7+eCDVMksi2RJxx4BKieAE
10Ezm3Ma+EI6gNHqgBeny298RlCyigPAo0UXk5WBIWYVpBo5v1UU7dUgrmcehlvlJs4OnSvWdrO1
GFjIo2EkxhrLyMqoeQ26Uu06CdncOpMoN0TUsni3alrbVFeITox4OkCJs5j4lfHRdad55wzWuMG6
09Hl0muLYdiO+HtcEV5jyQJyJfWL0ROwQHbjLbqr0G+z5Kq2q3gl9a+ja6n7RtfSp4JoRYS12N4N
1gl60FQbt+MD2dgG+TZuuBpMaBxTUZEBS1IbGWIunxtJ4JVTgFHWx364wkoI47gEK6OpSyrxsXnw
7Xr2OEtWhgCb2L40vbbTcbeuBtJfC7s3VqblHkkXsY56SHpDWSX6YmJpnqVTM6TAebzpwwHF5XJR
FpGDwylvqq1WZZhju1m81rp8TPI82HoElCEpHd0dvSynUooutcwZILdkP5J/XtO3yOX9Dex8NZvB
iUngLkNBHPNErUf46gnDX9ShM/4Ri2zl8qQrYxfnQbcpPZwPydxclvn+esL4wZnR8w7NOO/adIsp
W23zIr+NrNhEGovIF4voyQ3pbMZK7GIrfcIYs+u19n5OmTNnGYSNCDBzoaeXtm8Y8PZ5tMZURndc
7e2+fQ+NIPItLg8fYgYPLEpleXGn/HPeJtmZudhNwW+UDRbshryEQBMCZLGS7iulz3Y0q1MfuG9T
KXVof/mxS0e6Jn3aOTgc/6sQPiqE5Ur/5wrhLiZ4vY2//02ZsLzwZ5mwbLvZxEhz2Rsu2V+/VQm6
8wlFknSRafLtKAZ+rxJMMliBDMN3sz3W3vBmfyvX2YNLJnXoJ/Wljsfv8C9WRh7f/g8kAhSgNrQ6
ig2b3RXA3D9ujCIJFX7oDXlhGIc05awxBuNY80zR5uS7ICDHliSN1I/sgDFNPELH0ZVi/qu62Lp2
M5Fd9yXLzDGftINlFcalR0fvM60oTnng5ffgZ8brfjKrM8u38rVD+3+U+Zjeg8JsTmaZeMW6m5y3
QMbmvjTdYKsnjYXRGa3jc7RUNiQSY1Nrxmpletkulfroz1lh0ZTbXEVGPN/J1kbe7aFXBMXBDB23
CPYkG3imTIhCFgkj+8hJb/K8Dz7LxCNvlWcquheJlYbtLnP0ej7MVUT50uCPxlBHBAK7gZXZM2Tg
sML1wcSFYM5SfaMWHG6bBua8WJWNNP1gtgdxZdtVssmtuE4etATEE8CE1HFYdiA5YQZnqHxlDap+
TlnoH8wBBt0spfSduUNcpY5uV5FvW1jMdYbGs04DvtVvAeFJkjhXeDY0XCRCavVgY4mOC8PYKeCp
B4U1w/PL2bwj3Q1HvhwsZqdO8toh3z5WNi6Ei5Vg53BrNx7u5sSFl0U4C51/xAdzvORepgpt99+J
8KNn+J9axPO3tn37G222/osWke598SnZBF1ILt8/7I9ZFC//2kXdwqNPI/6za/gRLrggTQS6bc4K
zpefXYP3yRFkFLKQ4YsfkYT/4jxgU/2nAwFaPD8Y/5SCDTeS7z8eCEPvTRp9+Xit6IadTTQECexV
BzdiqOIIm2Rw6uY0NDYqGYb0C3mhiI514cbdoZrjJSYcZ8m5BfE5bxJEZTMYs6ooAXEVhm29TohY
mE6xPJg3jPApesKp2U+2HnrvP+K6VNsyWetixwz8gMR1z8+qcrQJK9ECbd7UdiiZHjbpiL93LnVc
0s5HFFguGbJtTEdHc70YS/2uT8kN+4gQa4bQtB4yHTzbFiTTIZY6JUhhm92+IlhpPxlElb2Phjtt
w8TFYxiGCQ8oiDyxJ0wNWV/gZi8xcm3fIzcCVV6lho2WNTaCHIbbXoSWR+QaamWr4WCyWrBocw67
VSiG5FYdmjtLRe/2qCGWK9x3eh9z1eUhmcgVXyMPAZH10ONsJK/qFIX4lt2lzArjXK7Q+RDI0GgM
CRxm8BLFMggRxCKrRmCC7hf5EIG/Yu82Jp1JgGVRx/eBxacMj1WjZTemyiKWZ7q3I5fvLXVma2dk
pCgj2DZ3LEnjjSCenUaOjHnT6rObVDCkZkeD4IvtUV7X48bVQLeFrvEWYbTcMwXhY7GEGeehCRim
DDG62doL4sFwb89Zv6beZt1E5LQzBsRaE6m4cnJaQX9sMKdlnWTaWebtEXAhUlItSi78zOTGlXZ5
TEcUnqTIsrawKAKdUd16XoDNyCvzTbuQ6oDXYMZvTHc19gEe1rnhx3SNx6xICamrSY1uGtaDrGyw
eZJxwbh5qImPNZIdbJz6FoQzqp5wBOnC0HM1K73Ga63AK7elzLaz8KZNO5QgNcyp2ky602O5hmgV
TEW61zPMsHWQ5Pv/js0fx+b/5Gyey/b//N8ifMve/m7y+Stpk4KJUQuDCflnrJPufvJM07XMH5n1
+u9np2F+Qgqz1DgMEGlLfq2l5CcHWynHqgXOB96m/W9qqb+UUgtmcxkELXlTMGGWr//Cfk1chwak
8JKrPt/MlgPTcGfWX3+pMG9+kGR/DRWBFvyn8xmK6CJMxAJLTUlbxK/n1+9Sk11MUqSVXHVlEmd+
6Qry0z18I+uAkPhNYrTNuqTbJZzKLeAVRMk6m4PTwEDiTlTRbRbD2rOi+DwKwTRF1yyMZ4h6Mj0W
axFGh1Hmh36ILvHAsqDXz2IebwncvNRzeZoa4zpuwqNIUix8A9vchE3u1lmOF/JOFKMc7zvBPSP8
cnYOCfGJdDr9O7ZNEmkLVMUrclEAjwa8fnKA1CnccfZx1OZ8F4yT43caadyJJ9ks9jO3RkpqHHoQ
80tgeM4Oq6HxLHPAVBpE3F0s0sjeRH1dEeCo6vRrSRoTCwkISvvQA4Ry0A3c7fSa7pWtWkXzA8sF
94iLDbYzKsP9MsuajPFaZrtGm21rp6NUn2vAply6NXuNHPflSgBQvSYPS7vw51d+G7OSWvjkpVbs
XPov3+6ZUniRBPzjuPHeyMz02OPvdG/4fq3xbKnQaU9SlUPJNWrclU5jTTeRjp0Ip6538hrbOcKw
D5+o+s2vg0Miu5sp1H1d0ZsIKhiorKXEbbl3uZGJXh1b74HkVIhbhUlQfI+cX1ZTtM56CFF1GKrD
IC12pX2PmITf+Zm1e/utZfQ2KZzvCsHSyquJVgUmv3FwR65C2KF3BBIcE0Eeplfq3l0IWXVFawte
QaGaKascLENq+qRr+04df3VzMnt56wbfJvdx0yDEZjRHpz9lU3y0QYpuHIYIu67L9HWB4uEKjYEk
valud7Yx7EezAJ0/yfY2pO3nhskvcZFdAK0U27yJb83SOrg4of3AzvZlDIszNMRN6433ne4MDwDV
3XdSHJgWpr49TvZ7Gfe+lbd+GtT6Z6H129DugHmW6cZjjZm69PATs4zWrr63bfdWxM2bStQXBvGk
Xg1Hb8q3HCBoceedOYmLcgff8DBEWPI8U/9jVX0RVs9QT9tmo879Q7/Qq1c8Rdxbr7hXdRzFmcEt
DnIwtYYny45fstk2N+yz2yPzHEr4cT7LXB6MUF7sqvfHPn2qePvazqDLd51NMNhbUJL7XsxPU9Di
RYX1ir98ZcB4WultIQ5Y5hJfV4wHHOeGv+MdZmBcqMQwMr0LYLUMuDgj04ZOEcjbLivay1h3p1BO
fJgBL2U1whziH/mU5URx8hCJ0gHpRUoudCi3Ms5kG3/VcCWklnPfy/C2qKszrcp6kN4574fbyGN2
KKuNpEWhWppWKOHIaY/GCvdyWa7DRlylWvpcpvpzlebHuE1PZeYek16/nUfdzwDblFl2sUy29Fmt
TrPjUItRJLhgmurU2ffEBXsNc6oIdy8WFMRpszrUc1EcAY19z1XgrLSowFsfwt4kqjbd1R5xwC25
ALPS6u3/PnmxB/z15AX+ByJQMFE3+P8/nryR0iHI2ll8Vdap3AyZpyD2q9QnJy47d7kx+s4AdamM
cqqm+U2v6va2rlPx2Z1dRJPTdIev+yymwE8956uYul0d2e8Fjg2/qoinAHMLlViJbTnzmc6ABZSB
1a5HCtKVWQ+0im63B43yAi6uX8dJ+0UiVd+AycfGK8isyIr1WK/b6aBXhD93QbGjk95J+KiZRN6Y
O99Vlt+TlnLswQbNbXase0xpVXl2W+ntulFBwlDxXk6RtSa6DNMGSI3ITHYhWwu/Fe2dqXqW/pF9
FJHHc22EguQUBBpJMz0k8WCuPJuBsFTy2iQIFj0D3eoUp5ehQtpJu5qO1s4i1sGPs/oQFKmH4gaH
NXKKLY6ijRVW5yyE0OQU8jrOxlPW53vuNRC3FcSzUrVbNBrXaZLdMVRhKFnAVrALLV4bFcVe09wg
Wxr8nJ079V/yYCoTbfj0/9g7r+W4rbSLvsq8AFw4CAfAbefIZg66QZEShZwznv5fR/o9pmRbU773
jUtTGopsNvqE/e29dvTqgWGLeh6mkQfURRJPkkoRqraixBpriRd8AKvMBOrqWTu6zs8Uln8pPOek
VzBlAk/74gs5wwVQph6Cj0ma0fpWqrWsPUWOfDb0dKPrEwZSxNQpM8QybqZkbYXBxZy5khNrVQBC
HFRArrrHAnPSkdlffU45ye5//agql+8fEHo1QHIlDRdALmGeuZaqOPp4RECmHMaae8mVDwzAjA+1
0S1+/R1+HPLyT5oO10SmIqSMkaLET6qRKUlBuF4QXKUypmDwEnXRLipv6yHmSUiXkaw2Xrz+9ffk
AvrD6/rzd1Wv+8MBqyupbLZMTTvrU35HgIPxFX9gV3zmdjctQga5WMnsJ0SPfd8BxuxH8qNpPijS
VlQs83p+LjTnROBLX+KK2aTeIN7c0HJWmR4/SDcbMDVNRye1XqRP87NISRPxNOUFlexOvnZLDY2m
pD4Dd9W070bHfCtyCvAYa5mk4aPPKc/qutJluGIFnlatK/UlV+q7zkpnpP/kAS3b2GcBHUzYo5GJ
d2xK901db2QzUFxoxztTDzVGT5xQ0iHPcS11+rKCWIYAplSxaLw1wpxYRQRg3Qwk9moKU5r+a9Xg
mWzKaF9bVPwN1v040+WiJwe7hZNQq8Rr5Ju4oltc3bKz98kcH5kVrfLJN1ZmqutsMAmrrP7U69ha
ozg7u+G4zeth3fszT7C+TtogW4bcrYs4cxclatKqTv1zCUiQ/OxOFHIG2THehRJi11hq912LAdw0
W305O+1WK8F3iq54lUF1rvXspioJa7dju2jEAR1S4/ps0gftsiIK8ZBP4W70Qd31dXdVSvZI4Jx7
7nXv5Bq7pQ8nvbKtbVBaJ2f4/361v61W+NbC9cen6M9PmzqIf3jaBsrDegNj7Tk+5deY2zfVsXqk
ZXNPt+jJZetZfjaGBWOLc/5pOP76WTeUyvLnb45PAYuH4QhPfQA/fHNRhm6eYLU6lyt7kZ+MZbnp
iFsftSdnQ+ncw0Vbnp76NZiQ/pX/pFfTSV8coo1/ZeK++h8/zY8b3/ffhKlzvCSTpaRi9bn88MNM
+sDUS8ThVahfE7CHaflU99+vvn/76/5xzfrz90Dg+vg95jojOBmmIZvre1DTU3rz69/oX74Ghym4
41r0nJs/vZvkImbGchWbt3ZdeXwebM6c31eof2syVGXE389Bzq9f3uvXv/BK8FX/HYJQd8GCbFvC
sOnEVKrjf70S+m/E7bi7c2ND8Jb81e9eCec3gtGeyztmktD+Fs7+XfUE7aQ8Ei5fYAquwf+okM+S
6vH64/OmOjIsvFE2OgHbp+6qH+Lj46fpYmqMVgQXJhZcZ7Gatw3psBSQId24T2RT8fO1HuSf6eAo
5mGeBWzdnTLzvluKijh4NisjTCfUpuNI0m8xE27Jwx51FHe+Wq8XreIsugAX6XiAbhB53tqKys+i
IxDQut1V2+HNFv2LBNsowDfaiuMYBeEn6aUrjcvDI1u5vss5vQXZ4C8dXzl7W1FsOtCQhWJEBsJ4
AbRLYbDiR+LzRm/TpLUh9f21H5p3M7UhtynupFvE5ABBURZJeAOX83XWh0dN8TQ8Ra0sbG50CSBL
WxEtO8hxgFUp5Gic4s0FexmCvyR1DLpy4CV2io3ZlOJaA5YZp3QjA88k+4BDqabduAGsacfxtZ6b
4yKK0nY5KPpmyuliKy2wQ30zfAYD2SxT0UWLJHSR4EIb95Ue3/cgPXFekU/SCTw2Zuqchsy7awCA
Zpm4afKh3sQpUF0NSGgILDRsx2NZwNN1BgV8AigaCEBHQcHUFpdUsSg6Gyxg1LikivX5AQJ1vvMK
u4Ni78QYJWCWknyMN9DovyAPT4egD2kUznWm54p2ahIxIhZgnmQFCNVyS4a3vn8zKUpqSM/dZgrY
Tb008xaBoqnmiqtaSG1bqB60yOEQW32a9BL+YmAqNTzkcho4cP4AtUKKqPYWGFXYrT4E2IryN8V1
5Vz8ufVCQLKK+Zoq+muqOLAjQNjUGYAX1eWZWDzYQEWNBZWNdR6OrA5QNvJFu+4VY9YwqlsufiEh
kX5cxYpE63a49fQGOm1NjnoZdPPnrtZNsEgdx3NFs40V17ZThNtIsW7nyT1jx/BW7ijf65JWgdoT
V/nQ5kuz5VHmTjeugj6CvRqgSwlN3uWgdXvF2I24Q8EMcNJd24xUzAUD7dgweX1ufZDacuaIUIpw
FOGyUAzfynOuIRHgxrZSawdu5MWLjTduO1tHEYCNsTlrmQY7VnPpkAMTPIMLptSDyt/BqSjuaDx5
g7Omxe47o6lxQLe5sY414zhzAJYcPo0Bn3mDKD/iSadjiRo3k9ma14R4XkiON2AqI0YKDb0PlT09
jty3uRkxuh8JaLkDo8mioJ46SQrYHt2wHVIsilGBe6TGHCXCQB7rCvG5cimUgKx4Pxf+pZYleSGv
WXVF/jVqqzvDDPe54R4hM9zMbXycSeYZXJxDLTzrMW6fYkLUtlLkoKy2bvWCnJzg391UZLtcE9WH
y+CewkNjjfb2MnjBrhmsIwOCrxJ2RJPgcy6gnhd+Nh0KbXo11CGvUjiwiggWuZ1eHqK53bhjMEJ/
j522fcqDqi82Y1haMy2RdXFnDl3zyFV2QJkwYD1KvenrnRm59qcgKexD25RpcE0zSeDu20qzPvmE
6/1zTB32NvMSKuI9/0mgTKztkZwGudh07fO87CyyAzTEYKcYeO7Wdsmln6fwpbO63UwaeoFMuAvl
7JMLxOYwRAFJiMK/cef5MuZdu6Rca15icrtOZcAxm5Q5lvqI5SlJDRwk8degdm5qiZ1MG6hmiZpy
RwVpunRK5xaNBz2hf6xs0Jh8ireuXz/OXkc+W5+vPYJ+XTLZy7LUX8XIOk6a7RJjOBWDSJdt6ze7
KtUinjX/MiW6sZxaqlY1yrkWOdOiZJ8rPGpj5q9O0YdEybp66cBQjZL4zYCpWsTj2whjNa+Y885Q
V30L/Cp6XIKTJrnXx1OObpglOxXFzOctt62t1ruXQMFce6iuErorpWZcqE0aDeG+Cg5sC6FQsKmC
wjrZQGENU+1QAWNrhY7NFUQWCDfV4Ua0hqv2jXe3NXtdLLOBuYcBhTaKbaZvtXPyyWgWClRbKWQt
Ucr7KjSurBCYrR2AcK5r8LZwbhNZXBdwbzWIo8tCl0+x23+OB9C4w5geBwXL5U529KkpJbTITCa6
TAqra8DXLRVot4vLTeTpkH5dcOKgeOH1BgQ7CrHo8BzmZmQu6dphyp/CP3HuHA9QnIDrK3uv3gwK
9Wu67TFW8F/MdZL/44jXvz5YChDcRSE+LZjBtOayPuPqS3oQ61p0ByDqteqcvcFUKAE/1AMfTkze
ah2uUt3BJXYAFGcieI/B/dmAiwuNv/VBGRNh+1KCNs6McPvtGPXveVLdtX51niSH/RfHSb7o9+Pk
N+stHnhEDsZBWPc+HCdNTpqQxSQ4UKHs8X8cJykFMQCEMiUH1MmchkPg78dJ5zfVxmwxIULRsBRf
9B8M0fHR/nycxGbPlB/Tj/op+Ad/PE66zJoAgevzxczCx8rkvJMiVcDArdAP5mzjVnIreIjsSUOk
8B7pt8S711GiSlbmPnZpJyrafRbH66p3/WblOJQ6rCPU1Ye08MS6MPSbQMvrfctCCIU+jbU3A5cX
M21h9uHR8ftspBxXh+SSOvGuadnzsi7ubnQcfCCI5d2QqLs6vQr0vTEJzc1VGZJxqcbifpq0R8o5
H4jMdQvdYE2Gc7mX2kQ1lHug02gFqP9zPZM8TvJhEcT6bRkb1ywLj0bf5Kuw5ZPlt0r1q2ln9vOv
U037TUhXnG/hQIQIaHK2HS9tLV6JvlH11Zu0pxfhl2rI5lWrI2F7o7sO9BbQdxGKTeJIxy/hUk/7
gRTbEq/jUXTOxaRCrRPhce6cpS5IOvcZJExh9Me6L59C3XvRLAf0dGreJEWzbu3sMYlmbI3x/NDW
w6bvRHklfBW/Kr4axA77Orr1OnUipUWMuNVeZNNj0nRH0Ktf9Zojqa5NztIwzQ67JkY+TUvahZkm
u6rRaAcO5RL4s7HyDRQKm2v8xcArwGS5Qo5qKWULC0hFivlWxAxdMvwBazdJ5mU+UtwkdedzOAWH
3MSe2/pw4GhOWeauwYpl7rquvvgphAoTbYkEd12VeBhkl21bm5bkBXD1vdnWy6axz+0I6sMsDGMZ
5v3G0v23hKhbko60c3Qc/PLxNZAFxR7sRUXqIcZTqjUQXKIiXHvVa3rJ654mDZEgLmOwhlbinjG2
92tXp6PD6EJJ3Z5JAXFe34UNox2jzTBMGgHTJYf6vLnudoQSZ6jsqcU25KxcTutbtFrSnDz/Vx2D
SEez9iCYHhnQ7vTOeBx6orZB2OirtjEEWoYRnzCPcLzzpFiHNvxJv6dgJB9hytPN7WOCEvpVOZrG
DX3ZnE+TfutZJfpXcMiSxoe+Z7wia9hYc6fo4pAvpeDQ2kxuRjSxGRiiROnSHvK3qSk2Rh89FwFk
P4+G4IBWvGWcTinpKnDyY/Z9df9bxeMnRcKGtchqY6NFkL1RU+gf14jSHAH5aZ64pNlDYn0hoPs/
heC/+BYet21SCqyRlAn8JHpMZTA2OMisS9K8dcn1VN7n3unfPeqbZcFmTf/7Peq+I+KX5e9/3qbU
1/2+TeH1ok1JwJYjCuIaOn/1QfWQbDMqdgVNBJn+4zaF3qFSG4ZUpGuDd/WPbQq1w0AJ8fCFQvb8
R6qHtP/i+dB1iRwG2xMjqXKVfVQ9BGalTCuy7EKz2gF+nrLq40sHaDvn1L/37JWL2E/PVgkWyDYt
PqOUtgByDzttz6az8gbjJhdU+5jiMDTla9LRT9goRH17HmdxCpimzCHerYSGl2XoBC/NlN70vp+s
ZZYxlZHUESpMvk9z8nIGRnvMphTHU8LF3c3a/Kkww2NHPwVHv+zaDfFAewSMF7OjLWsveUOb2Ji+
uA7H4lLWJFNKL34eBMtYkcuLS0Yfni/DsEQM0aWTxRfqOcl7jzBKZspQllGfCHZh99S2zt70s3sg
CO+TNZ+pU3xL/eZ+mDh6I2hsC9kdJXXcZKrlxS6cQ9qmsHlC+4GJxGou2k8D5jJuQz0sS7Lfg+de
W159TLOCu0JyFQ/xptSEj6dgiLhdpdpC1NqTh5kdzk+50u34FNYUkcwlej5XpX2uilgzOkw2oeSG
qlFNPwKytvvuZHVULZXVDWUWm4w09OSIi2N7m84cb4GPksrGT2ayu5oCT3mqPfeW/0TT7EZ2UCi8
foC4l2Zv0dQ9lBqdQBkl6QsxxlcTntpFlXBOQHhfNYnMHitrj3fCVfVOXB7MyqEfSHc3/sB+nNly
WE5df0dD/Jo/RxuyFemqrfLHjh/Dh9u3TCKy1NZAU0/EKK12BReD6ci9kllRTMtsrNOXVEwuN2+c
EZFbHIfB/2JVKDaRlPdWIW81QLZLrZUnL4My3tlOSMgDoSqqw1vN9veY3q2TXYBIGKv43vVz8g9c
x/zsJguTL+xQj4EHn5UwFvl9XtSu9AX7AKY+MDZjsHQMIFxWizTl+EsA7smmxEgwezSSz8lWt/pd
YpjpOu/GaW003btr2+XKkqr6yCmfcbGtPVGmp9Dmt12lRGOCAmRiPopmgR1nXGhkZhbzSJJZCq88
z1P9UM1wwsoOMIJOUhnpTrDFuO4q6/IOr19x1IsxPYks2VDg+hxJ54SIess9EI5t5NH2JeaZpi9A
DLnPOcabiCYXpvGpzKs7t+eNt8lbTfZ8pXf+F7/XyBH19q1Xurfd4FNelqNM+P7eIY6ysHnoF+RG
NyOD6mUtIPQYQUL36ECAJq5qkuXz9BqYc7ME+gEpgd/ootVq/AzaSk/kWkwoayLNogvO1200G9l6
Sm5xQ4qQ4sQ+mF+1ZHpte9qpx/4+ScWqG93rxDAo5gpmgA4GZxMz0h4nF9xNm2I7RYgIvykSUQWO
XakUnc3JIke44H2dDgRo1gVy2SLB/IV90HpXUlCqa+eR7OU6cqd8jezzSrPlbipbe1lI1TLiRNSZ
DOBrpxpWglFxL3YYD1YNpgjfCECzm9Awhh5HwYAqCw9TfDVSeOWTnRL/og+Es6R2Czznvcl4JCyZ
RQTEnYeyrq4a6r9xZ1rvCAUXh76RJgZpQd2stYZCb2ykoBBJn+uTL+At5hbvNr/xY5Xzoonl9cuu
zV+sLC02QE2oE41cskc9ufp0CnY+vSQ77EevlYyKrcfSCAZhU5kdh+HQOs9teGlSxEQuPhAnI/Nu
iDPO5lZxXTU6Kqx1X86slYW4E0Fl0JDsgtosnNcAAGUpw4PBi1sNEYKurXcPmpzFEmtHtU6JZzEt
4aHmOPWCufelbsG9NFawC1KN85/o1hkLHDprd1e6KAJ1wvtrasXKVajkgS4c+lIh9zAYnljli9C7
sNBtgyrMFobV3E/+8JgY7VNdueYqTbony5v1nTBwiei6wdm+iftV5OJJIJlAhUpQYR8V5r5u4rtc
mtu57GDnJ2TFElwtFHBu7NSLAa3hBDVLiTnOeOzlzdAQo3segDaF5g3wH4RA+Qjd4CEyM94aWHEy
L66MkqBvmYoG2LN8Fyz0azF61/BE+Ghz4NxpNoF9R87ROnUiAhGWtSq84YTuddt7xs4ZU5bfaFrj
KL2jHewYFuSJoqB7wgkFa6JqD1V7hYl/0doo3YETYM41oxXXumhrVDVFWXX0JDBNkRBi8qix/M9a
ffYmR0Pr6ajba8d4MTOdZ9gL/oSuxfVQBgcShBpnbRc4qygCuDcTqY4dNp53OhPD85C32A/ALNjO
U1xkw7bGYR0t2mqmPBUozDKkAwVtDYBx4LbMsumWYv06+O3sXYRZFxd91maqmlprjz3tCges6752
1jRt5xEqINRCrCi9Es2rYJPZ4mwwq2U1OkiMLIwyDVJ84Iq02jIfI6dkhehxNVMOt4N+cGVZDR3k
of5uTvq7PwVvbDmIpeFIPRvMEtcBhqHz0vkZ4ZAWq2RMP+MrgYoUIJPqhDwg+LA8BPI5HLOeawFu
kgGgaiUaEK3GvJE9LhHXkceAX3b51uoHYflKCt9p2mBcoQpdzHL0sR1nYpmk+gO/fnZxkb6XY3zo
jcDZlNV4UzdyG7tNs7JNJ9/QuUGfQa2X+Fkwl4hqeM7bEdxSemfTXylT+yHzKnD+MdCeOdkPltzU
UXrd8zkBXTRuRFveO4X1mcX1uoVTukxDHgH8E7dCqzHclYKcLsRSTzRX3ywkzix2uWwx78XZxcH3
iY0r7NaRl0zremx5HgYKKhBKacySzTobcWbSadcsosJ4nRugUCTetg4cCvRBecUh95kE62l0UodM
urYWEbrB4L6wtcATMm5RmI98cneOga2P+pCHcqYjBOfpmXTuvZvQneUj6KXFk12K58FP2CNy56kx
xnMxQiAZIg+KmUZBu2cHj3SC5MwD0v0cHWqrPsMD2pSDAXInconOlezRmnzg+n2eRwz1OeY5yz5U
CZGexkSVG91uN9UTfI9RnjMEzqXMWAi1cEsfFHAm29olhYG1dT52tWliSgAEK2d0yCHLrk0fxhpw
JQ0PXm2s+pCKScwZ5XKw8JLYGSDNskEihx67aywD2pkevzmUsC/dsbt2ysbcenVfbAOvaU5ZVQPG
wMWTxo7LouRDD/a1rQf6hDOn3/LhslN3tu4pUT7IyMm2Miz2ZEMZ0KcU4jGF68Fzfjfm/CsZqgvS
31/H7l7z/5y6qPnP5Q3h/i9o4OrLP9zKLMewwXAb5MAoIPhwKyOBgzpoEirTieKoC9vvs2goGR5f
818TOV/1+60Mg7nn8GU6aqNLsOcfJfJ+NEKoSTT1xPzHMvj3MJb+dCerGaI3KAbBhRkKhOVjRKTj
w6/m+vtU+6OH/OdpN2YLz0UhRerkkum43zJIH+99mSh0r0yn8SpInH0edt5mNIy43jjZCPOWiA6h
3qnZziDl1lIra9YKfFV3Bno9u3rrybNTO16zz+k9OlPu4lbLrINzdVai57i2mm4KVjoe6nndDDrn
tEEvd0mYZVSiWBx9xmrekhgxSPhLsSWWX62bYoi3piz1Rd7L65j03RbbKINl+mG2kRYwxAnqItYY
vA9zcYeVK/yaxW1PF2Lk05ju0u2yJspmGTGkDP7XWkCIQjOyMt28a/OS2SPrd3XTjvwUUTWzqwrQ
rGP4bJbiGI4hxyGIfwuQSXuzr7Y9tZIDGPOF02pXXdg/2ol5X3nNXZ3MpyDvHyULBqdmUsVJZFHm
Zq0JwpzCENN5ECR7UWO+C0Z5ZAshLY1dijg2VYkcUXSgnHMxHZiMv5QUHy/T1JEcxqpLHcl45+Uh
o0H9LZR40cLSdJYW3ATOneI9TAv8rtgGpgLjXetBgKTlM9u042hvc9Ofj4yQjj3r0Mi4qNWoIcpS
u15FJvn/uaT/KTpng22ufVMZI8MSany9Z055G9pVCu7d5tipJfuaEeUiaMQ+b8Z6XYfZXVG3x9BE
I4SSJj9PPev8BOURY53cjMz8FqOI1pZFwbHm5qus9/djWZ0xeLMrxgB6EypVSbWyfwexrTZHrpIj
s70GaB5XGM9YZb7VLvWpPVds1RCD632fjBNEJP3dkt0Xkdn0FKYy43KcUfEXJnZ0U9J9uRKjqqYU
6J2ANbSDl8Ri27j6Z/Bk+1lqV3jFH9pQ26aQ7uiYrSmvcZVicZoz96bPc6yKxiqu/TXOYbqgh2Q3
pAbt262xqkx+8exnu0bvn8RMlry0gxVR+k9EPs+FjkAa1ePBTvXrmX+0F/k5c4l+WQTPSu3VaMS7
po37wppPpq/tPOeRZo3CnQ9ORqmSHQfr2rG5CwqQUeMbDUeLrmV8RUfhyTam68CH+USqQ5KXoHku
MMBRSA8joDjRax+wb10q+AKZxX14Jkpvz9XGCbV7d2weLOapY5CgrYccMXvibojGKrQRHSlP3nNN
AFfci8dSC+9dN3sg9LeY82HjBOVXwxkPlacdRkgMmOvloYq9bSrhspFxWXGH6PZWZ7W31hAfeH1H
O9Y/cRHhwGamEQIN3HXDLKE0WGOyG7XMoGucApTGLSLORtPkQ+v0k9vRdxqAtKlYWzX5CZRhqoO0
JEFvAdARthMDd4N04cDH4tSXdnTVWbPG4b/uGRB0pVSfMKaAxaLyKPRyK999mzF4UCstHzWCCOu+
kVd+CPzdT5H0W8treJjBKXCQTo9cNgNIavZtq+s1wgZWyKBnKorV7dgX9GmWCdffAfW5L5tgk3jW
s5R3Me/8quo4yjojcDDXTOXZJ0e3HmdOgAxA36yAw5WsppCPnMd7ZN/TMpPwe5ySbTAFJ0ph5sWU
+DeJghqOHrTceOXGWIspALvzJe+yWX5qumQ9F/Guj9uvTj1cCP3EgNgYYJpD+gIxBVXI+VRMGg7q
xsDCDMnTH2K4ak3uLmJnOjU+TeYTWhP36bgyvmSyHbdlZSP+9y+96W9tq2XeTFcdh/pNWfM2JwP4
IucJ8Pij3eVPtiiyhTfGd2M6nXJv2LUVUUNtiJ+CcNpHAx/RcTz3fgb/mluensrbtp0vdiNfsJBf
FYj0rtXTSgeNfygOkTP3m97Ctz3q9ZJ3Y53TvA69ruE0K6G42oiPKQS41o32QTPCJDNz2CG2vMO7
wW8wFSBIcue+6qNDa2LDaCL9hZ3gWPmMMrQov45wMOyKOHiygZ9hGKp3tpo1cRbXOgCjOa8+C50T
lpcdjtgDusKLB8PMn4tl6SYXXP+7BMgdhKmMirLkVXO1FXrdrksRdKrOf9Xb5MDvehWBS1x4hgfo
dLppgL8tY6shOqPtalt+8vVy33NPxHt0x8hrxRhzhvsEgSSj2Eu3xq++PtikGvJPOhV5C2OOzszh
tpVf3dO+PjOtKHZ9QM2862XTSYCviw3j1NXRJwnMRq/RS+jZazd5pgsIENZwrRuC7ERNMDdx6+dc
D3HU6+5F9wYKavOqOjbCCRS5NNswm/yMKEithh5oz0MpeV5mka5xJPkL04rSL3SEceNieClXA9Ev
bFT+118fQn6SnjmCwDXwDMkpBGIGvKOfpOfEFlmW+9pVjPE6eUy8N8v+ZwOWP30LddL6aFvlKZZJ
x7fQEQykc+nKyxhf//plqCHNH75BdZJSL4MAIWdDpkjmTy/DMLopGzxonKBxWRwvc3sax3sE4V9/
G4bWf/o2RBsJjNMVYBE9+/GlBEU8mU7SB5cuIwGNt7qhKlKrHjrrWtXNyqZGoPoXwPe9Xk3lCv7+
KnF+rSM0ntc/T3bU1324Q5iK4UVMHxYfA5wPdwgYfMxtvhsTvvE+fr9C0GFKfF84mE0hXKu06X+v
EM5vmFi5PpDotHif8Z/+A/8BI6EfnpdvdlbMDHBDeDgtNfv78XmJay0xHJr4LpkO6OYcGvRjjUIP
XUp58zy4ppjHPsxdJT/J0BqwW2s5dKdh1AaWU6d59EKruPO8yJ6XFIYN9OrmTvvUmJ3AGYa9dC3D
GLYQiu2opFvo0tYyVXKuMUqQnfm2C8SlU3pvOr0i8b4aSggmuiAbN6MVXd8aSi02vunGCMhj76+o
vD6QG6CWQmnMQU1jdqBPr4nSnyulRBNDU+3DqNOT0qlh86veYNT1nAu43Xl7K6jrRY+8XWby1kLu
ziIpVolJ7skfrxA8g5WHNF4hkZdI5aHLylso9TxXOjpYgXnrKm2dlCbZJ+T2GNm9R343kOETmacn
4LnHLkw4l/j0+lgNsr5VAyLOhtJdlkj6fVU+VNZcnk2EAs5T2LDAoI54rqDx0pMGz0nNB1qTqOYI
WfmUMzyYGSJwe+qXjUBJ6vT6fW7qCXrSmK7dptulTbyFvboT+OdKx4mxqHlLztqI9gwuMCdxWFIi
RKWmGkHv2rso509WPzId8IrHnCEIRqkb1wpXbpl+Fkl4L9W0pG1j6+QzQIE7dROpiUqvZiuw3zj9
U5kRKO4gJVS3oRrE1BRkkPJghJYfZ0Y1pZrZ0I2CJy1HUccHGqODjMc8EstWHwB/Ffk2VdMfw+qA
ZjMQAkT1GKsJkVSzIrx0a1m2SiaFDq/mSSGDJUtNmDo1a3K+jZ1qa9+qORRh0xFtubuZ1YzKNkOw
/xyYKzW/ihlk1VP85qvJlgwRzGyGXRT+PYHfeXb8YGkwDEuzgACY+jH0/labXLrd50vK+Ax7MpBl
YLxTcWUxXku95Hqe5KdIzd1yNYGrxwh7qZrK6Yzn6CggjMHArkAkctUEL9TcJ42j96JV0z0RIyRq
dbRJGPzZZXYxGQRanrzuG1yqrZoRBo610czqE212HFcNDsTcoSRjxZLx4hQNJs4OTCcegcK+whbE
KBJ6GPPO8VzL7t1gVNkwshTcUmM1w9TVNLNNPeQ3NeGETfAlVTNPYwbM4I4pECkGorx4uWiH8LlS
s1KhZxeD4Smy2YZKpTf6G5aumq46as6aMXBtv09eMRSpWSxjyJpZBPNZTc/To6Zmtva36a2a4zoM
dCE9JGuqF25E4z+nauaLygK5gzGw586nlLFwJxJ8ttbLILNXfEKH2eabMkaOS3RZn4J1xssUnm4t
xs2mmjtHDKA7NYlmYAL3m8GIZSQqsweTj7G117XmMRJ1ftOMid8cxl6ouGjec36jxNfzKvK7sfvE
ND/FAp5xSqrITm6qVG+3mJG5BudFsaLSwrgeJ+tASkRchXywlrzn9iXnpraw+5o3p3XGp7nKg9ta
iPQYc1zdtvwK1kOqpTsB82yBXOuY3Jv9QF/0sg25gZvcishrpRBDdMEM10/+Vfy+b9PKNPf32/Qd
gWF6Oro/b9Pq637fpilCxZzD8dhmnzawC37Yps3fyFWR5laITNoB/zBgWMZv6H8EQRiIY+MT1h8+
QUsH3oPtAnmOsm9aqJx/sk/z5v+8T4NwADxBuAoMFz+K2sc/HFHZTbnm1Zhmx1p3NrmitVulBY7E
Gmj2ZRkjfIAPWh906rcBwOvETgnvRU6yB8hZPMOma86ofCrpYVZ3cSetnT12zdWQ+OWXsuVm5iiO
fZg6EAwDzE7L0tNYXDKhjdcNNUuXKo6tF00nJy98EmBL3xdUsOV+fpVQmf0FTObtNKY2ZmO0FSMI
ScC5MnsA2W+/4Oqq7waDRHzbhM4+6RTnx+m0ZCPsqXg0O73FTtYY7xgJ02dbT/NdYDf4FUu/ee0h
oq1Z8KO1U3uMJGJoYOhs5c2gShU6bGJBFJSrfhBWfwm13Oo/F00QWkcBygBXLypGt0WT6bR3AIoq
nYY5Hpe93+T1xQlLkIfg7sK7MGYC4eJbB1TZmrMq4/Y0GhP0wAoB1Bcp0gRTkb4cuOoZQUqJosaY
eRF16fQW9zAR18bgMdbyxxeJt/910hwb1OQIZS8IpX2YgGTetUMxM3S3oZtD5dOPwQARKAog7vhl
H7zxJEUESOb51W/C+V1G4zMFAZs8iA6aUzSrTEhmJTYNH1o5BPRmi27aJigUx0BgR06KkSBgSx5l
MWYF6lc0BNGmyWBYLOjxKRdlUj1ZTpTuU088mAmqEFFVIrFqG7bdut3JuJF3blhm+1ZrvYdSx4E3
epSBZIZa8Tkg0gbR6Nl7Q7D9TaOs+4BtlV19zC4ww+AjtP247TWtGVnwqqpdjX5UfnWArO5ppMxv
aWhr9rZOAX0wCwfzBJTz0U/ik8NKeW60Kn4RvlPAWVTSRDIXL3M3akce3mDJKA1DfVD7z+6cDQ85
A6d1V4zRnRaN5XWoAP45kWQOGpYFS7ZpLLEGGhq262a0G7AMjPSXAceIndEb757k6JGaB2cczJtJ
1gAfSEuI95JM0qaKdNSGslHbIKSHb0vQv9MXFZf8xVr8f+ydSXfbRhdt/8ubIwt9M3gTgj1FkVRj
NRMsSZbRF7pC++vfhvKSyI4/Z2WeUQaKDIEEqm7de84+L2/1S/4u5M8GL/zmp9WYdjBknD/gx59W
Y+03l5Ot9cdP+K0/Tk3ubw6aC5V5Bf/5fQ3/Y/Di/qbCXmZZxZnKIIc1/F+cmvR58PPplM2pCXMo
aVzMhgCf6Sx236/GRtKJZkIHexpYXH0TCP4aMXWyKoEN584g142SNsZisMzuCXXFoaSjs7EJB1wQ
W0BYywj0IxCudhOG9oocJ1pIo3AQ9cbKQZXTixXoE0QW+d7bVbNykpSUmSy4pXNqHwEZQCTvjGpd
Dl11jWp0lYTRF8LqVz1zUEwR7j6X+t6stW+0xb/0Ub53zBQAb710NH3rxZiLmAmz6OT4s5OMRh1F
erYcVJOD1OxlIYj7PXHM+95WntNOee+7iAw9zIz+0LPLcBL5WuXo0FOVnrnatdiLxLjo52xDJpWv
c4rKEiCA5mdOJxcdyR7LllU+youLbocru6jxq4wkGVQt3VjGNm14DOOdXRo3VWMfSfJ+n9BvjOJs
a2VP+FF6LTx7PQ3JQ45JJdCDt0hYd52FD0RNvo2hOY/V9Ytb07cmsUlddWFzXygMv8eWlKY2izJ8
jRneMM+oljWrcB5Kaymd3twyAEh8g2n6ShVA5yda8PDbNeTIQeKt0JI1S4YVDKUYjeeKsWlpX99Y
WqaDjMwABY8m9XGMvdIqFONYk+8D5BkqWepq5R5Bxk2BfW1BFoa6aYd54dPiZW1A/zXbxNq2gTem
X0SoOOFRb6b8IWksYEdZXiHyzrrJHwy7X3SA4EmqcL81Hkb3iF1Oopc3cgr7owxk4z3X1hR/RRDk
KEtPyzwA81qwpr2qnRwmSX6DR4kO9ijWJQK7Yz7p8b3bu1/Qdgxb8jWfU2TL5Fljs+lNhhxK2YI/
Ht07T/Q7I7c2YPjaTUbvb0tNe6+0AcodtTdWAxk9G+KEwpvczNnS0Q2cGuHRMOSzBDZwHKKxwNwf
Oz6p5vQ+q2w4E/jTrNy2L+9wjb02eEwPDhRg8oGi91KLBn8ygRjHWAUVtwjkAr8DH72l+Y4n220N
Qmmr13Z2W9kVGbWFI+5SfeTEq8WR35nlXeHKpZS2spgILoaMZ4ENBChNhy+ZuxTEbxTjqZ9Dhgke
GPx8Dh62Yr3nuEYY8Qj2dy9H9YXcWL+K+i/uaKLXnyOMC+hDy9D0xoU+mMqOnLL+Ga4zCr6pClAe
SbEZyiJ9SxnNbrO2p5CoXBh1qFO6OUK5lt4EnmGie4orpb70c9hyFBoI5rvxugHQiSpJwZFYxLyZ
ILjXg+oOS6mD5VHcCUCxRtJVag3T6r/96EOcPU/F//d+dHwXX4u3+Gep4PMv/rkd6YDhNHCu7AS0
AWb185/qbPi7tOgIZeSIYMKG+3M74gSA6Ix+r0e7l6p9Pjf8tR3R2kM7wEgd0fa/2IoYxH+3FYFY
UC1DR1OAjwi/vPdhMPp0MHAYgLkALZUTYhlkgXRUVHN6D3q4YKmVEfdlqGsYUOt6DPOMqXJZ33ho
uS+60ynooJxCOOxCHlNnD4b1kjyi+gEbqzO+WQpSXjtivqHPMGzQsDx/uoser2FSgOzZ3Dgu87Bh
BmkzBxhWXal46xrKNkN09S2sAG9X+lCui4iKrG/BgjOpoJ4q+H+NGdrdpnr9XH6AvGek9xR11r4X
zj5JamPRg9+0IpxKTatsWr19zQlWXHQzJBwbCtLv2WICP3ycQeK5Y61oHnTX7gwZz2sGphzpjA07
ArvlDCOvU+ghBSWeMXrpyqWJt9BnePkEjkmXQ3NOGpSxYpTZE42x8VbTHmKziWGCp9dxFUZLdPaX
ZJJiQVzCcVRpa7q0TXps+U3cr22XDdGUmVy4HaB1Z0aus7/Ee/GBYZ+B7Bhr1VXzQWlnitnTbAHd
zhxxHriCc6c0GFGpecDwCoNUKnNfoV3FeFgMl4mWDuF+ZnoZYMQXMyzem7HxzAH5pXSa4jXtIeIL
WKcyQhhm1nw9U+enDwD9MCAhxUsNlj4hIBEMKQerW4vLbrokKdUVD7bYibrraHQAjA9sxT3GZg+/
iFXymNr8sjhqjLUuWhs9ZRHzt0jYL2ENE6lvkFzgmXtKNRmuAll+owWZ+1IJr7IA5aabjKcMHzaZ
S/m3aLKYlYfyxCx6pFYy0SzULvnuxF/CNbV3dVc5ex2JmN8lI0cyNJF6nm9MNCFoqjACD1brLsxx
jiiN27LnD5Af4aU1IjTz2FnkCzECISYAbunZshoMtjUGZor5wTJ8vUlBxjA2viL/BNEIDxo7SI/Y
rrKqg23S4FEKssPrOVbQndqNEWXPsydJqviriEls9v2QG5wCQ21tmYF7TQDGWsm9r7rSXNlJfina
9j6gEmhKB5qSrpTXo0LUoW4jjkHtjSyUAVCOD+tOTYJg5brvksF4nIGdMp2rMWIvcpJoU6EgtzEZ
c88nJMpXVk4Ia6ccLC2+yiMsqnFrBUfh4jrPKZzWbRSirR9C4uOzXZ0gRK/4ktyIPmEfg15KHEL4
UvclbHveQDs+DV2B/lTQqFNklyOCrXzNznaetFZuTRVfA0yFyQad/pvNkbQlhZ2O/5rzo692WKBC
HTMfvqioTHZOZx68fvB7jqCLSEIfwsV7D/L7REP3Hua1y0PqFTbQDM/eB+70ray0G2tqd07rLg3k
PkycDV+NUAgoqQ8v+CVCr2vX3apBdrxILPfcpOLGLfSvXso7nGfGu/TGG5PD9ZJa6Tii01FS0y/5
jsFmkTkBaww+mN9NKjK6IH8D2XrXz8+jlia7uo3OFPCn3KUSTcI58XLr5IXPQkrT0VIvuRiux2r0
dUhyImiXCiJocoo2NJK3DqimvEy2djOsFWsmsOnxm+22BANyKicGIiUacyyLkyhVdyXUYqNJQj6S
NjzrklSCLtyyrS85nl913bges/gFvBqD/sGveEWY7flBrS3xoPqBzN7r7L0I2puBM3biqshc8Zj1
4tGqAK1NxlIzuQZePjPQT1AybhtprxlpYLcebszBu8uSSV96GakERa9ucrP2vcDjCQyUBdKONWPj
byO0G1a4NUgPv4ncpe2SlxE20Q5z4XaY6kdVk7Rf3VvbLh/dqLkJu/HS5l/FWL5XqgpLctAWjjF7
Osp1E4zLNDRp2Ix+aEQXo46ORWfc0Ij+pilyodfomnr6Baq6Vbxu6zbKWo2y28QqrqSl3TP2WDiB
11AhlatA6Q6N2q55Fa8bz11rRrM3AnRQQ7VCKjEwGmmWRYWkgHPaW98Wj/xTMEwIRxobqjbeJE4u
EdYTQQ6vaHxBo4SIyN2kOIBAnWjR1ek6gmRPLnFQAYYfqRNtZ6PL7gGHxbMky2UsnR34GRjIZKoU
st4K19qptFcWk+VBzuse+1p9KOrkplAwB5gDneiWz85bhUJuHWnxdDrEQXUXUWSHEtpdp7S3Wexs
3SE4wV3fCTPfd4F2jApIVaKN13k2nkkN3/GCYa5wL0ntXRna8FTaqLpqDKO6594HtX1p6uYkGuuG
ZBKVXlBz2875nQTmLeqJmY6VXWVWuMdGqS56YCv1vFBNxeOYyoNeU9aXEW92T1Xc+00/Fz0Cz724
nznzml4cFAIJT0qAKRSmd3ZLP4XiXJf7WsVZ1fcYVVM2noQYRPs+kTm2eJB9C8+RTyZAUJ1zYFKQ
UBNrX+0cM6asHtM62qFAOLHewpKuU9zNzYHDC+9l5qT+pGpPkdWUa89I7/JaZviM001qaOckdRMm
XRhZi95Yg9XdBqmNIUTJVzGijA6arRP2oa+N+jLNMBlF4gyBY5MEw34gfbNUoJ82yYusLbxfYDLo
iAIs6ZxV26Kuom/owwlBftb6ecYmMXhi2ynu166z1qhHNmHnrGM0i5hMWX8wbIALnNZDLg4kjB5q
ad0BwmGv4bwp6CDKOPWViOaY0E2edSAECMRqrdhlijxOjE+bunxr3Rnm2HikdaGOMXHY5irb36eS
9icqTrran5oVv1eIDH5txzToY3s/QrlkX9coDIVyUnOoLOmiwHCDOOjXF5l1BZ/kDR9lKCZFPLSG
SWmr/+BRBSik2jCdlNPgvtaQTdqnoSCXBH3fP4lSf1bwfr7SDwqHIiDrcwq4ku7SyGWU4miradoV
WDTa57iw/V/f2E8/Pd6mOZdD06AFfN/q0QG1uIjWw3OnPMv2UIVvInv79SV+dkdUyxTLXIb2/g+X
CGwyfLyxjM7Eaib9ph3HVRbh+A4xSDETkte/vtxP7ojMcg4tiIOZ+P8oqJnhPvqoyvhMwOAiNmCd
zwraf7in7ztkHw/ddxf5QVLTBIq07ICLJEzaZX1FD/YflC7/dBvzzz8dfDo5MR4lRekMzMiG1ZnS
lgaM9OvP6gc5zfxYf3cbP3w1ZTqmZZc38XlQjAW+Ii8+m7MIzXmyGPw3J51Y2V9f8We3RcODYCjm
TRYa8e9vK43dPCbJNj471QXVFQ6jnfMvJVUfd2WQA2HaCKt0ROTfX4PQX8V2uzo5iyZaEVXtoJ3r
s/tf38jPPjoDjh7KEs1w9I88mU/fT9FHjhPH6Kjq8knYVxEnxYTFwAsYPh1MKEd9cPn1Fedn6oc1
iCXuryv+8GVB9YQCrI3Aw2AXkHPI2OgfFgPt+2+Hbi9iHIdgjdkGzcDhR2BqU5jkNwxafk6uQGrs
2DyPJKetrEt0Y/mYCdeur6x/fVffX/L3N+nzXf2w3oGFywciCZJzZ4P9RJegeywKxfbXV/n5Z4cI
SGXntH43gH/6tjDx2Y6EbXoOKqyNcKJc+Q+f3fzp//jtAPXjaUMK58BP+P6hK8nyBJ2nJGc0qovR
1ak2n2MzROWd/MO9/OwT+3wl4/srcSIuauQOyVmz3iP3YgW31fQPy9vPL8EYViN7CdbGD49arKWd
a05hehbiZNGdHNDX6639D5vqz14hHrY/r/LDV5/WHdJmLALnOH3DQRkYyqo211ba+qk8K+kms/7h
O/rbbemqyVyDrEq2Io3J9fefnO4F+O2cIjvLblPVz729qqabf/mg/XAJemmfl23RhXygUZWdewKy
NQXrcfL/h2v/k5fxt2f54xIzCFKl4KHP9v0lkmFA9s9J69xkb8q0Q0D0D9/L3x5lLoAyz+I9ofH2
t/EPS6fTa2LKz9R5eQvNMdnF6KmF9/7xWf03JdR5+X/Vla3f3r/+Xa8x/9afLVm6qxbdVYuJ3pxJ
zI/+bMlqvxGhZpse/VBWrU8tWcP57Ucqxp8tWTChUFYcJB4G+ioyWf9NWxa2KM/YX6sdE0IisRhT
aiQ0UTOaPxbdhqLTC6nS9KSppqz3noxL1Y+73FRA/6UOGCEbpZ/fVkl10RxsjWRpgLbdDrudGiQb
MfMh5xaUdL/Q1WFsH3d3mmHWB3XIiugxmJFxtmSoMVK4+vkHTy4FqEgY0bbULcjaUOeKdDwNCjZj
z9FfAh5kLMPpoYRUJ2xckw7sugGGXTnD7Fp3+ALX86tdOjelUfAPGFO5DQcL8pFbbM3Gu0jYeB05
Zri4c3pIGuC8spfpfQBLTzExDpFhRA7AoJ2Y2lz6PEGAMiP4whnGN9TutrMxl+Rpv52tC+YM7uuL
sWVADziqKKpuRTGRbEsjJ1WidrABFQFsvip6bFNkBMIqsUWk6KKmWSFlzFqp9kM21c8KKpTnHIEZ
myGs0meN1TCrraJILVfprMBqZi0WKbfhjTPrs+xZqVXMmi1Slq1TPOu4Qg1F14i0q5o1XtGs9hKz
7suuQFLXsxYs+pCFdbNCTEcqFsyaMTGrx8YIqd44K8rgKSEuS2adWTArztyy5uSXe2MT8jeIKt6b
jmJrOy+ls7zW8cN3o5NqrxoWoiXDxYWD0OYYdS3zKhfaK26liMzNhRlOa9XKLybZkz3emIIw2jp9
By37UDXpVaHCHAVRsMlACvqOZR1rT0FNofMg5fHSwnU+RGJf6vWTrqRXSU80SaWDMUGos5KR+2ZC
7sO7fC3yAUhiJJ0UEOsY6yvD6AwcOlaUTEcix3BvpP0qLQmqNkzcW+kY7do8QNsb0HUYbN1d5VP4
Ng0su4FaYITy6JAWs/bRwrBGu9d6o/Ncz8LLlNA7iU8oGlatJpdOPt6HgxyWZGVb9Mm6xB9HWvek
AV9Lu8+XrmpBZQzzGNpeCFWT/zOZNZW0WhwOUH6qzihey0t9/LR4u6O4W6qDeu1YmAvTGoTpWJKu
oarygLCm8+nC6qs4a5SFmuvP9oBrJBiL294hB9wbe87lonGgnFC2Aq5cMAHyFo3jvOdB+DUrkBbz
dvkyGYk1oLBpLRhnY0cznOGn3zZjvio0ur40LLy1y6Ovama4FGotCTi2JKWc8oH/iBOnSPeikcXd
f/vH71M9Srpf7B8ELlDPITOJ5bj7+n//z/9X8/NLf2wfH9l6Lsf6eWlmeMePPm0fs7qEI4v5++Du
r4mehqbPISXBsihiCTb4c6D3kbpnECRhYAd2cQP/KyrgLBv8fvMw540DQaGm82/9nuz0qRivigoI
ZZRE5wqJgLvFbAWk0nJOGtFoPO7hR7wd2fK9XS/akgQysMlzCN4IIL9eYyHV5G1vz0F5vdtsiYMz
ghc8som66nuRKQemlU2w1xiuaKtwUhRsf6mA/QA6Nyo7X2v1gZp2sqYs9rPGC+ZANuEYIKdHGy8V
q5pHQ78eW2cixSFGQ+Z8qOayxFIwaxJZtK3CGrKGyBv2gKrP6lP4oblrDQRYqxBFIuhe1wY5PKvy
LDBqm/8e/Y9Hfwai/+9H/6l9ffn7kz//zh9PPkJXNKvz4ZWJMXR7mlGfnnwQXyrxWEDFfq+p/pBW
eRROHq+FgyyLttGM0fxrlo0NnWY2P2LU8C+lVczAf3z2ORpStuFtwUVPP3EurD49+5msmbQVg3qS
SfEYeMLa2KnBI6u0gCGQ1FysgtlmK0zvet5o10Uxmwgac18XrP29GCpIK551Vc/9b9NNwen2NgoV
Gu7uUB7rSfHLTiVS0X3TupTcwLxHANMGy8nud17grmOnVJclfui2CTJqelRPyITue1FvzTgSd0Rm
IaUpyze7dw9FW97XGoMGMzfiBWEVbxnT5WXRmAIGRr8dKHIwdxaRuACpZVZgmmfFsA+B3Xsr2asB
CF0lWCp4wPF2w/8I5IvThm9BDu0XuQ75kmNZ7VzhkRJbKDcyc7OzJ2ttkdsRMiGDZnYwOs4yAN7n
hwpcThGMQM5MzNie8bWJbWgZ1bUreYfLKH2MdeNOFl65VBL9vURJsgqm8L7u6F1Uza61yaDMAYfQ
BfiqqlBTGBdvsZdchIo0k6otF+Ehmbw7AskcXMRIAmpdvSsduCoTX4JElO9nAUxfdKIvIwE4fuM0
j4hqMWWWwLErcuF7Uz27makBGY4vMUabhZL3br8fR8yezOqhZ5Z71RbX7hQfurEId0bS3LSzp2Cw
IINRJzdgkWne27DRnDIjGhe9a6UoqHqFpzskrMmsgYJc1AwHROOePL0cNxl4TNT22O5F5R3Dpn7X
qw4O0OSEF6VFWDPF1ptHWuZ1NerfssIagULbhbqMEt27RiFGTLtAuhakWLsBhKZrkYlyD876FFHe
+GrmnnqlgPltI5QNx+JbnprAd7Ri39b6NapSYvaMiX5obALVgueNNUTZJAN9305rn+0y+pKmnO5r
ZojVnN2CMYvPLeTDzcDsLdxm+uIw79eC4jWHI9JyItibQrlobvkNOt6qJYWlrQbXF6ld+6qsjZ1N
fFJp5/uBua4ZGqdRS0+m0Q6wD7wZJZA8qH1wb5GUt5WMaIF3O/cUKBZ/tg7NWSdAz4UEV1V4elpV
vclHuVf7eFOlyU0cI+Zrs6derV+RMxVY67WGwRsqDOw36Ox6gGWqOFrk7FHuKXtSQE10kNSDLbK3
pQjn2CTtzdWZYzZyfCghXi86rVyXTDYXhZyq5Th0uzSYCMcR6nWf9a8Rn/XKNsrAFzZWm0LHEiXK
o4ekzHaLdYKMHLdT8IaxaO3UeJ2VjKwr0lILP6XzOIwMsEcvS30xWl9lb5F3piMvc5OrKqh1Py7z
1Ac4tkmi5tlNqgPm03stnb5oSnPh70NSYVIJ9t6xHogU4w9ehlPXo7pLj241s8gn9abxjOdReiW7
XsRJalCGPVwzZQdOqV4KZPZkzN+a7HxRmd64toAYjnwOWYMRALh3+FcIkbO2yCNWdQCZMDEg4eQ5
3hcVLg/OQNsHVzQtlIKRWV7wEI9u1jG9dk5JwVQLK2+2RP6RYrgbLonOtC6w1Dd30hL/v3329xKT
Ztv/3mev37uXrz/ZaXV+68+ddhaAMXhDFoYZ98edVocCw/yF/ZJGAZvcXzutpZOdQ/NAJ1+EX/9r
pyUZRQUsQ0fBRXH274RjhjE3D7/rUDiIa2Y7Mt0OLmjOP/+00ZL4VRpWEI8nzPDG6EhfD8Z+MSD5
Hya9X6gjmAFPF1fulN2ggHwdy0zxHShjwH8J84WLj/1Levsm9U6GahSchexX4o2PWet9mabq3ujF
N0ar60qxS0C5zlNW4j9w2UXw+E8bVc+vmOQyQw46DwmTcd2rFVICm825wuht0zaAQmczGGYwr+ts
xoVuPaaZ8yUcp1eQjMIHdrHtq/Y+jeW59szr2A20Da3N2zwdCL0cwuugk3vUuLD8lOaguUmLYgA8
+1Bwz9MyIRazcttd60ZreBkBQhNQXZHy0JaxjxJmwSDgOiNybjKJtsS7CB9CNMwbe97JuFpXLqo1
MGsLrEFf4bKdmlSzEZxW4+2Eaz7uApjIZeNPFXg/KzFin4QVCnihJORMWk/5RD6g3QcOZ1k12yP7
RDnbs4YqQzAHPEN76LtlRj2z9EYTvZk3LQytvbVRl6ym2voCdAtcdBjX5q1H3SCJ4bCgUnIMb5rp
Xut7gDeo2SryHyupEsqdMDS7HsYw4egQhRmR9MU0B9DHV67drdJm3KjZsJ36zl61SG8WSRhuEIZ3
vjMFYCfQZ5gORwRWpvcyscAoNt6CUdzzZHJIZrDYL6KgvZdCPMcoVwKQXCYiacvE+9Gy+NakptiJ
2BY6EJ4oLa2F5nRHT4Xsn47GgW7Nw2ja+7wsWdcsEIaaVd2bOYqT3LzRMGT2Zb/jeLKBWxpsYysw
gDkEW+ZYBElWxgHsnbbwFAQbo4JSfcrdL0qHksmulHXv6egfO3cxp7K6Qb+bPDw4agH4zwwFhl+F
0Mqq3MRx5CxUhyaZHqyNlum/QnefGfqXKcseMkv/Vhh8ZkFSPapuQVxqeo+Q5Aly4XmI0tgfJGgI
MT02tcj556NtMCSOT+wMLDK5z1uHpzmZHjukUkKrXuSIr8nSD14SL7W4fLLjXi4D0B10M0QFwiS7
a836PmpIJClbROiqkx7QMq7KCVaadJ4qmlCLurWPNa27KTI3qkFyBlK1jToisWvbZ8sNb9Cqrx1N
nBjfn4ZS9XjHJv2K1AX2dltcTWl3rRuwS8TXlI5T20HFa/pgU8T9TEqkWKMcOsfgsV2V8ElvLugk
ld00l3i0817yueiz1BQyD3WgBoJmgbjpzp5LxKHIEIPXzh2O8gNSlKfJjY4ZVaWhKxsCKeFjUG8G
ubrNPaA4tlORypfzAAazeokSlVrVSmaRf6fd8Rg/OnM5SxV0Lalv2Wy/epBSV4nSn4uAhlreaKYf
hDqRsQHQoGwuld25aLagAZ7H1LtJ8Qkvorm0DjrS6vJRw9tte68D9XdKHR7MBXngWMESLBVF+lh5
qzqxDqXbmOeJSh50OzV90FXJbSm0t2A0ACyl0/1UFFfGFL5qQtu3WTtu88BTVjLVryPap9TAUYPg
C3sqDuH3ooR71eKhxa1czqLAyluUJPcsbM+hpWThZgrM+gqX1EHq2j5utV0UyZs67Iib6KntJvN6
aJVDkXOXcVotSxlRaE2KSdRpuEyivAVkaC7/2/J/3/Jp6PzvLf9YCPlev49/P16zE3/e9FGKc4Jm
yDl7NZlNfTpezw5Oh93Wtjhl0/X5Y9O3f/PAf6MhQyb+qa1kWL+RW8HJGnGIbjMH/FdacWfuan2/
5RNUgpmD4zqgd84GP2z5eZmZiGeAOeYGfJ1SDSCSqs6TQy+1cNoHslXu0+kSjN2GdJOVXrmXVob3
QTaBrpwN/iV6rkqMR5zkofJm9Ol9rqC004w62Yy1eLUlEm+A+rsyT7ZqKIhkaAvU53XgRx39Yl3V
nhXRla+ahPZlBFm/Ssw4IMAr2fZxbW+DsN6LHu1LYkQPOYJAMXpPE6LBrHRrCJHVy5ikFy8yXmpb
exy6UfcRjh6BfRYgX1PM2VUCBBwltkVV/DCq7nMMiu4gSi1YaT1nT7VM7tM2e1ZHZ9qZOcrPhuRa
2522U6U/d01+7QkOobZz69WbFCdRBaSKrbu/b6P4yY2Vba8WD02thHtHL5deY/q56K61hDDebGRn
ja9nhEE1zufEOPpaYFIPJet4ZffX3uzWL2J9Z3JOYdHGGkNhcxsScYmwVqZPHPqqBX/iht17nrDM
ez9ySGnV9LYTHcmfGSwKq2kYpXiUP72BvE25svOi3xYSiGYQt6u+SBDm2lckGE1r044IDsmybVVk
X2sEaZhJGjrmtbqpQX9i+WnPo+vBsEVWqgad2EQCaW2M+pzjMt89ilArnJgg1a/qNMbLRkXL4U60
OJKXwQ5YWFtS1mR8ykrvOi/NpZ1Y5oIIqqs+hDAL0six2C2liVA3U9nDxMwBoCUy+PZMpMlSk03O
aRo/jmXu033hYYs9VN05gUrSeUHQvSMbTa7bBl2symAHO8Kld2x6ABoinMp4G/Wk8s0quRFaniwj
vjmlNO5pFC2qPMPX5djuVaVoOKGLY5kMz10+fIma5rWsXHId+nFu/tiEvSUtA4caMHGaSKhMslhS
XT20MT3XibLcj6P8EjSm4afdsKXJWqyhKAncc1i00mJn6DH+Ige9NPkWEFlPJnizFIQJbjEUw0iP
y44OxJgZsMHEc6YBWNP6YzHp9DSk2IPMvVLzYqfnpIRngKHczn1NmnDnRSHhdxw9bbe565v4tmyV
e6RuO1XMrQXzvbDtXaqGJ2gLz6LJ4CRVfKhTf2Ua9QHD07HtUon1d7hkIG/x48KFtwmI6relV+y0
WVQwmvRso31oIpeuKcXKrD/0jXpWMUuv26leBqF87B241Y05reNansp29uhNzr729BsrLg9p3G3N
FBYb4dHtDkP0yVTrY1g6CKE7TBIYy7Fd3DZF8xCK6kBZdGwjcxmF441QM3xNvPRpFq0Z2D/Am9xY
YbHN7djdEYW2sbseQL0jQXN5M57XYBAW7rDrXHKlA0KiVn7Ughnz1Ed1oHhy1Sxbenp700cWOCyI
4OSGRxi18kf611un7fwSz5g+0BBsMTdAZ3ueXG/TK4zDvH6dxd2TIJmksdRvUxPCb2YUNgGriFXk
QQtnUkR+ozOA8DMXCuDaLSzWvsEw9uTtkXBvZwcvhL8PJHKQrVwomkd5G53MLjsEIScthLHHPqAq
jD3x2sWSoNg6u1ZUb1MV3nVN2je0i2GdV6q2ii3tS6y1V4NmPhipQg5NcjvNXyFwoddSG3gbw5WB
gU0LlYdB7U6Gpl2rIP0i2yFzb+xfdDjd9DZChPFVuawk30WtWWvRhrRy3Py5NIzj6OWw++MaMm6y
SQXOS/yDX1C776umW8CrXAJ1vwC41nzdvHNCYMLx9Ao07nZimnUlrKrcqWFwU+biqMyJQkEF93yy
nrXS3jh6QHujt7aJJOS+rwd9mw7g4/XwPR0Jr0SDph5GHN9gkfS1ppXWWo2NjVNZZEJkUQkwCAm+
HarbJm8fmz6+rcR0NbbhXVA3W+jXsOIwNApaU9zzXThmD7KKut1gnumpLROV9kgyw7TzAZxdgf0v
vIvVqVly7tkqZC7LyQUUbl+mTNvWocdHo52UqhaLCLF71+q3KRO/lUrvcOnW89RW6+kH2ccmY79f
MUPUsaL3VfzFymPJ4m87B13A78zpzKyjyl7kFcab2O14O6erCofVwq65JSac2xp8pRMK7wy6xqUO
pB07KTS39A7GHdXegIk2f+2IwDNtcMvsMPhvaMovS32eQYZMyuU2iEiWGzLJFtN53T7JBg52yvhN
1LhOeYsX6UjStZFQBzP8dFcWp5kOtupSxfqOSJ6iVIsaR1nkiU3Ych5eIWEoT6LS5GOiOVCAYCQr
CAV669L0YkJVPjGc7TOTrFKUDRpqgAkihKZcYd3a4yU96266Nodk5ejTl7wKbsIKckMFkcwx6BBn
brviBPQY9FYya7dXtdYQU5zSwzShwxhSvnYc2LXUfTID49j1+Ihgv+Rtt5YBBa/R3GEiGJeuE72w
sn5RjXqL8e2kWsN7kBgHcv7o1EXIzGPaE41iPAK2PzhxfgzizPBtJ8f9jH69RHzfskUz0ML7UAen
RLXAyxc3ErLIAonArgztK2uIt1o9UeWXu9wjz7lQ0yV8DULnEuPi9fmtJJULHCTx8ELcCTK5/VxJ
D2rc71TSBjxT8ymFNvpQ7WTgbZQ02oVOdSBElMAN45BxYqgNdlrDXadu+RYk0wrj92UIqBRGvBBT
EK1qkFCc5N/zyLtShPAbHrphaA+tl73ZhgoH2BO7Qo1vah0gr04Tw0zGhZGTiDiot00KtlYKRfFH
DBujE9JD6NdBB+1qTpBqvWYtE22bt/oj8jY/S7RhbSl4ypBTUFowWREEjYxZ+pgZzEA0K1yAx155
KdPCNsyIuU/+H3tnsuQ2kmbrV7nWe6RhcDiAxd2QBMdgMCbFoA0sNATmecbT38+VqUpJqVTd7HUu
2qzaolQMMgj3fzjnfI+eF+wsd7nRBzNCTG88zCNajaR6Kg2pb6wcuL02xJ+CphzWUzL2aA+Y/Nj6
dRBa7yEySB8plS8CZ5d48cGLdW8bhsFpSJfP1WxfdxXxg5zv3ZU0+bKE5WhDiHUYO8yV4QezdC8l
8/ZC9H6ZsWCMOv02E9pV1gGY0kJr27aY4AI7Im6LEIt9NMsXe8Rp5nHS4BuYSOVzsfuM5dNkL7eV
Jl8IPA7AfNDtY+FY6bLfpkRfIPLnXTNv2nvq6KkxJQ0l7uywyUjmr9JzxZQ7ZSNz0czmVIFS2JgY
hjZ1k78hE2kpEWsCivj/5nTeGEN9HxJhgcU6P0CAICC166+WRt3atnieDB60BM3Dppnw7tSzuDbS
+JrQqLVIRHRwoqW9qvCDkJxmPRFNEh7HJrj12uwFj5/Yq8ddklCA74/bHF2h9eJGxGlV4tYYp/jK
s4oNu7VDWOkPJrzMpbR1TEb9LtTLjU7GbB3iXnfYWoR2/oYeCEO7Rc6y5T4QTXqMoZCmg6TOHCe/
Nbvn2ajvvKlWHDvnOjHC65wssswR8wke12OdeS9isu7Q3Jcn2yLEpYcwtjU78bLk3sFT6bogz4pd
wRTipNXGtjRi7N0Eu+yTjFCp9ktIc/glsHkyEpM2oiEv2nd/T3VOLan55u9pz990fDe/T0e/DcSm
sfumgfoS4ig9CWadOx5b74/pisS16JNpFvElqZD7FecWCo8n7n/9ImrD+edg9uuLSIM4IqjutJL8
/JvBbBpMjaW1bXzR54NWnHVWcpp46MbfxSH/vypJFUjJGAH9g0DjDurjh0VrwJaYLkCncDffxvKd
Zv0X2wmd7o9vAwkFMDGh9KT2j59V680QlGSeXYqRL9reDRin/6f7/snf4mf/+4gw+YT4oJSb+vuP
KXQI97HsOr+49B32jf0Hr+xvP58fXBl/+Xx+aJaFTI2I0Ib4IvKdxniSaDdnI4iF+wzO6tdv5Scv
5dB2K1Gpjfra++FPwYBZX8gqTy96sscD1OmrCj63AFmwBlj869f6fuz/5dv13Z9FfcW/+XaRPpET
WJ5ll8paAxW26bu6jYp0Hba/fqGfvalv//4/vKnCSTysM7+/ENiSAuRStOUeUVdx9V++az95LrG+
4z1yuR0t01RC6m/elGUXZsnFS/SEtQ2y12Hy7eDjr9/Oz75u37zEj1+3hfFrGaJ+uxTuaxK8CO1/
8XVWAFD0RYjk0bV+/xbIxbA7oZGekXACWkC85z9WdX/7hf7Jh8TWSJdK4arSYdksffshwQ6ivpdG
eVmc19G57rHA6d1/Obt+9kfnS4xCShApaqgZ17evAXS8KmaimS64KvF3k2Fo2LcDW+Bqw0L313+R
n7yWq/M2TMgEDhaTHz6xKADP4LGwuUSqp/ZjZTD3nXpVUmPdfXmpf4XYJl/z/xy6m9fu9Q/V3DUp
Tf/3fxh5/iSoSf2brztOAxwu8RNI4U3syMw7/xx3IrGTNuc+Rk8puQB4/r+OOwlqQnlEfJJAPm9h
Ofhzx+n8RssO1AKZEeRCHfnPP0jHsDz1HfjzLlUybITYkq89S1YESj9+R9oFM0hv9/KaOQ1NF6vQ
Ch+0C0iIFVs4wHddgp7xi2bKKNu4HbljRDvkcMX7mMI56oiiO7t9rNMZs12HtrFuAbEKjMk9Qlyf
0R4LeWsZbcKFxg6L99PYQ5nfLITGafkqdTSvOrSiUVibwZbTbZ84TA+4WcKtYzfMHqbiydQxrDMa
3ncqoLZtCU1CmAICL25YxYRauw16/SEpzHNTyMwvGXIFs34HpxQZiUEXXQbVqSrzU1EHVxR0jzNa
mxX7w4CgyXzXVwcCTfExh2hQ4UZAWXLAL2QTZXPssi3s0QCtILA+5Y53YxDotMpCFmt9m66qSR0T
nlNtxtw9EvP0yVQC3bgfnjvyFFZGCIgxpl8CTHzTlsW8HSWVoOzJG2I70tE7LNMm7fAt63Ox+LON
YsnVTV+3+3mT9EZN+T580sR0AowOopdkjHUeGJ8mgnTWvd1uE71m0YczPTcy9lVmtY6b5rG30WUl
NTitHsHMEKO6XUrrHmjItnZ6cxukbG20nDVdE1QHXFvU6KK8Tszyrq5HVjvVKWYiEk2I1Ad1TDm1
T9T/BzFXJO9Gw6azyBrJ0k0WCQaoYLME+KymgqOl6o4ViSHAzrIy3bqKt6VZ3TlXBK5UsbjAye1A
ezz1xAXjS4TXZSlylybDG8SR8Up43dqoO7pOKBe13jyFCv21pPZpno37Lpx8OaHaTyaDRWJyB0Pk
KratTaowYlIBxQKFFqsUZKwB6rTW4Y6hjHYAG1ifS4UkMxSczIZSZitcWQT4o7DSdxi/HvOEE7Kq
L1pUYY9X5DPxhYEGDC3J8sfRgQlHwFivWy860/uNg3R+GLP7KbWhuKh8dJWhEH2BrCnc2qLAa1VF
XoHlAWOLxvGpQF1LCn33NMFrM0T7IFpWiiEktwKiGwFXay1B62J3sOyDgmoeI3nvpIyl4MGVCgxn
QYij/8WrnACNA3lNyD8YubqrkYEtLyRAvK8VaA58msoyAz6XDLTXQu/fDTGDbEMh6kpYdZpWHnXH
ey2+QOwUzs6Ea4fwkAmmeKjg3WlWeTPSo2Phsu5VnbxxIx0g8qRdEyF5Zh6trS34eVOckQfj0JRA
1svDZdqnsPb6AeieFoHfKxSID+dCue1g8yUK0jerRXOmwH2ePrsohDCR60D9Ypluc5q8baCAf3CE
JDArJo7tfDFgAjYKDlhCCSTB+R3ZBtERCnbmS2P6nMbeHRsTZ6X0TxjmwQ22y/w2DoizBoUiZOkp
1jj8yJhuO2OXKWQhxNR7GRBFjfRT8U01Jt1VDJJqLu21YD+dhtOrjGAhdrIo/El6pOjWZwNSYkoq
xwa8pCA9Z+YL1TnAcPS3ZhSnsIz3M9mMhQOdB0PXwbFS9j2TAXOgHrbupA0bHHF3YjLFIexy5q8J
R4lhJmcALMd5iXaM/U6Oh6ipCU55lhyirr4PovqtmyhMi7G5msvgAlXooUIMTWwPewNgBfLkcS5y
NiKfQ0/mO2U/7pK0fCpKhrHOiPwyA+dsB2PjjyFy5XgYH722w09RajzTBYkpRZy+TFZn8ThO27Tv
daZ01KXeZNKzz9GTOX4emzlfOTY09GIWp0jmL9PMJ2p4CEkBvvjBUD42CUsBqwVmLnAakihHhoeD
jNAiHqItkRKK90ujvw0GXwZClR8q5nxke8NosLOu5YgokJDkzs2QAJEGTosfYNRWWTZck4Jyx1sl
NCm6LLlgPi9ql8RuDZll5lw57DM3kasf+hLBAT6R6SBGsEtV8Bw5HsikLP6cj2RHBGJEnILVbt+m
wzsYGQtjr2khnqUZiNj4t0r6fTFM7fL3VdL1a0Wt/xe3Af/ma5VkkhNMP0+bjQ9aYLn+s0riR9iw
TZo/Q1dufDqXP6skFUVsUSF5LGu/WNz+1FwbtvD4iaU8cCi5/1GVpKtW7LsqSW2e6dVIsKLwgjX+
fdXe1G0u7MFcLlXVIrdiELMCmYxg2J7fGUm9C5Q9aIRlAof2A5hY4s4nolIncWrtIOPY1t55Q73R
7flsL6Rj2GQFodciuC+MLzLOtnPg3uhZaKxZYpiwpfRdOnnn0bKvyrzcuaG37xOTsSuJ/S70w3UT
FkCr5Hgv7bLfEv79WZPFiRQ2bP6DCM+OTKuVVqXByq1tfzZ58kh336HBPug2Ca+V6T46lXXDePRi
471b9U0xkKAyZI+pnHfBlCJgs73bLAnvyd9dF7ZCodpIbMMMve/cic9jGSbnZemr16LjdWZ72C0a
CmCrDxFxMSTVwEyGk8FiLBsjVkaxjoQORGqvh6lvVmRh9qbjbdKohqtskwqcfQjBEHUzv3o1tOh0
GyJCSpHspoVTyNGjbQlRCuqCPyHkWtdttGlEZhzMuTxZehYfDc0+BmzE126jV2jf2LumqFq9Ud7X
RixB1Tfdmv0678JrxMXN5KEYOdvKBaWv3drZgSXmNXJ6QsIKkDhd8L4N3YeEANJDrFl7MQefmeUU
K2hM5EHJfNOy+MZrDpZAE2JfRkGLGSrXH9gYE9Iz2Qcm3dNGhBXarGxPyJizjmwyo8Klrddl3AaY
bxGnIvGBt514W7TYvb9EQE/rgEvFDtOPQITJw6kNzFjaYt55teHiPEn9yHbjnaYb0UbDabgdRt1L
aYrNnDSyoDjIXrPhj+pgYzU3PVSuvZkcgUMFxeWKCV6y60o7q/dNG5bBvTu62tGQ0adQKyvfRTZ4
XKqI+P2sOTR1+MBSG6hbBwVVQ79Ol+y3UW/7A4AydyjKU+E257bN38oJnrFYRlyYw3PVskSjGnvs
zRoCNc0JUsbqeSBQ1Hfa5aovpqs818W6cZNb0h8HPI7hTimOqUZ4JLTHbjRIjx2XfWIy35WhuDiY
BHuXZLGYupS4t3KFTXBHy3CVSYRUute9JzzyMujpO29CK5CDZAjNmhJtZnmeGHWMTKlstxgVXj09
PUehtp6yMPJ1zzsX5IJ2jDEg7Wqf4iB+V2pzjWkgjFaJqX+y4upxSN0NCD3MPQQivg6N7WuG9jII
lj9j556tiZvMmGV6K1PxnlSCE6ygT87SnlhQXC8GZUG8AEUq0ZiVpXkumnyX6WwBK3CqFrjTpmHP
oJnR3RDqPTi8+b3pPKSaL2b3VMXx1huSdhVEwL+KSnuIB8dYdWl2Sx6hRuXWvFRad5fg1qDcWm4i
m7w7aXUbaww2eZz4mib3iwon7BDnrfWGYB3qllUWeWdIbKSUpRdcTmvkdIfGJHZocKZwl+bLe08O
3bbLIYDitrKx7GVaAgJpqK/6cTl4VfyBRDo01IYBxGFEpBUn911mf/Aa4qVIdWWvXCNL1TqYpXnA
Q1xGuDNJnc5rzkIcBtm0awtzzn+Pcvl3LqHGa39/494Am31t/3rnqn/1nzsX9TXRm4iclAdcukyP
vhFiYeLjrNPJwPli1vt655LZKfgRUdGIp8SX1P7/+Jy83/CTm+ilzS82J2Ra/2Qy4fzF54SkC9s4
vwW3PIr9H8bXIgoLbHmzcbEpJ9M9ZlcTKXKdnpMgW4ulvYXP/BRQyJp1l+3G0HvS4ogE4ojSlmPE
g1OH5G/Cq1FFvlU2txLerCf0Uw/DRObTwZrazdLv7UR7KcPwGIRbUgMvRuKFZ05mdy3t2SMQmg1G
2qJfkfPyCaExi6ceVSzBhi84CqHKWFq3FWP3spT5fkQhurHs4QaJquVDI4/5uX5aBspaQrnPZHMT
OOpkj4XWAxBs9M9x1b6NiwkcgMVt2afRujGn+9ydRnzioD1m7alZhFxNOD0SwPLE9XnXhZznkyZS
kuJnFVGIR3sCfEf3yn8xaN/soMcws7Qfm8HYkFIGk9GMMRsHAjZk1BC6W1of9fQZwWrUSgzeOO9t
2EVShRAFTtdskJ3PYm2nhLihR7I4QiqMiaz/rc57NWIRDH484caPiiGiKyjSPXMkRTjXeqVkqnw9
IMSEDYpad7nZFqEtLFBzaIy1jBuM4OHY3aJzMnhjWXM7lFbCFIbMm8rhbDVxqq/aRuirqE7IEito
wvNaPpdLY64Q1o6+aASk4LIFkdJHoO482D+BF+CFc8b5FgmhIE0w0TcJOdNRKcujx94QX5KIz/g8
ks3o9e0xIrFsNzUhMmO8l+2mxj1KrwrOz0j7N9Mr3V0d1YRwp0G4N6T2Yej48xF/q/DcKPyNmiIs
Rh63F7r8DAnBXvV42nzEPMihPXHI9L5dl3aS3bgWNY/RFpg6NeTMHuilHcH6JL8Nrb1j3PY5nwAc
MLXAY9po2Y2zlOGRTw7/aDAWr26JNMecY30f6ETCtDqNWoERC7F7lzYbw3EQ9eJj/VDNZFaVUHhW
rc2pC6G5OY3EbUNR6JudFyEdJHPR2lUMnHz+eGIVtPYbfbsgMjQif1BYOzXAIzd8yRHPeRX0a9cV
H/ScORhZt9xzOf01Ym65qisx+EE4GnCpg0JCQ2RAxDMXHhvuy/24pEXnR0QT6v5kuROXF1fHW8Yk
bO9i7b0tjZqlLyDMU4eBCSEWpoJGnx4yzQjRwmXgTC0vRTdYP8JpCtf6QtY1iPiS6mNCmde+aGH9
lJXFsgpcb/SjHC30kGOpT3SH5nROHo2ivEnqNn4/42IDHxNGSGJchisVi+Olv40LdEW2xMdLzm99
8HoJGXZ43+vBdgxdyFKe9jYmnZoVxS+WlhzRGz5PcnR2tLVyneWNOkS8Mx/FoU+9t5LnVOtVcZ67
D7pr39RGdKwga66KprwmWeajKb2nIdOmjdFMN93SuAe3afbl0t6TQf6ujmTg6x2XcN03BD/M8YpC
ZN5ZJkaFpGCU6RKoN4YtRVN0F+oMC50Q3FOfWfUJZsQrun+SowpzH5fRMXWCi2uNZ20i1X3GlMyT
wmiABAPUDXFGKCRasQ+JixtBpl2yD60BPYfoSeavPXHEpgcdSJYts6j8g9fanFl6X7Apr2/KUbuX
basmC2l8DBEDoWIPiZKYR5dfCavATDT8tpo4k4JyDG9z9pQ4CxBI9erhWfQgQNXNi3aVHflJEHs7
nansXRY21cY1EVRxwvQ7mKnk3trgASphzP6SRCAW0VJwwjjzburnxA/a2EJokgvfWxJGRY391s4h
5EexHBihXHAJnHIruSKHKPetUTd31si8yILRuE1JMN5Gjq3vMGUSKUoew96UE2RPrBdxlC3IOmJz
Z1oKIJbw20Y5T605UkNlBfHQTMUVkIhTSocZthsL3qndDPYeCm246hND7rSETjHJAf7WIXyxIqew
55jq/x0u/BFLQGXy96XOpXktws9/LXWUb/trqcMShpkRJj7LUYwLj3XK11LHcH/DemSbeMpcdnLy
m/GC9ZsnHMmCBK83inCbH30dL1i/QSuU/B//szZTCfOflDroyn8YLzCmYFCBHh5WEmFw7g9LwZpr
PB4dPSCRxKBWWbLUI2PAC07aVOunwmk56DV97t+LJDrGwfzihuAX8BR/tAbbQItDSw+rDemqX1t6
AlitrvwpiSnRWduUjxAA5bwmn70NlbqYyUASS27SympeRRbEnzvOO3AGhY0NqqX/KRBqFchPtxFb
ntrHK2x666wRw7ZuEgKKmegTxE/n0Aa9hzctriSZ2vakss6bN80NJ5wkTDTtOEAXaWJdcQ0G4+p2
0yzaXMKhucRmbl48w8cMIWG1lMxKdAYK461hLVfR4Kk4rytRZkDAo8MEmnxtywZ3KV3+umyBapit
iK4qIXd6pd0kOE3uqsA9Ue5hoQoxv4UIZa6KtmzWpjam/iyBCTeVRqFU95epay9aOrmrEUXvakac
hzOFK4QdFrZx2WmsUay5eUut7j7O9HvmV7mNgKcrbrQ6Xc6WYEZdV9uwktFzGeP/AstNOZoTUwp/
ziqjN3rVZG1WqMjM0kU81uNRs/J7TdrjtnIRrTk1ycMNLSDDcG9fEUZP2su0ChZHbkyjiC5DCIIx
rpJ+ZbHo6SatvJMjkj0gf1zSkJa9vlhVJmOjWDsD9t0O0iDCpa/Eu9YzkCwiz2tw02yZLcUr7IXr
CaUy8UBO9UKRyDVlaMxlKCW4UNoZl8I3j+JPJCh/2ajzwKm0PGYhLNaZ4X0/N0v0aNRTr02uTT2C
AJON5ms08zmNsOf+iD39t9Wz2Nn+/fl3/1r8n9XnIv4pMYh/+fUMNHXaM0nTxoSVg1AJD76egSRe
ECfB8hcfDQtej+Pp64gV3w1eWvOP5IpvnTfyNww5KuNFoiphjf3P9tDO96ob9tCeaRs68GZ1ANJE
qp9/I1Bp+9m2ma1oJBHlyTorD0McQA3JJBI55SNInXmvKWcBnq1bOEEeK01cByP2g1H5EPBtEg/G
ZoyHJVnjMCpXpvIt1MrBEGNlGLE0lFgbKr0+z7114BlzryrlfhDYIALsEMwEd7nyR4QdUVDKMWFj
neCBWqMHateBpd96yl0xumhrm6R50ifnbRJy2iZjdZ+byTvHyDlG0oXEWA3jWu7Vz6Kv+k1sVJs8
ZYOVEIuxIaZiCyO259lrdmMKggzxLq6BPj9CHhiJogpKlkFofrVNMIn3VTZo8y2djDtsyREfCdcv
VRQS0Wh6xfJCZSZ5LK45vrxtZTCcGVSykqkylurZ8geVupSq+CWVw+QVLIpVMlOvJ586oppoKDyc
OK69srrrbHhntqVDZAbZTjRJaFHn8t5RuU8GAVCJSoKaPCSt6GOBrJbDSQZte6z14gPWnATvfhaV
um8T9EVtlAvztk5DIjeosMBfpw86dPfUofeFMKkroNJzIcpHGoqSG2Aqr+AzzWvNAWfuYJoOq0OR
ldet0e5ynCKZ5xwnO3hmboFaILVmMo2TLUkn+sHoVQoY7xtR9IQLRiLA1LPFWvP7PLlhFx+HmHOY
7RtUCSPQlDMovyCQeSAvBLtz5ZBnhSBdfJGmd0qlTvoY2uHmi3jdGN3zYs63esvKVZctvbjSujeV
fh8ifg+UCn4BlFAji9cQ7gNpurUT54AzbJcO/T5SOvoBQX3n5pfJwz42mQT+I7kXucpfwW+U2D12
q+TJRpvvlNFuRKvPwjxceaj3J1T8FfqMBlV/g7o/7oy9oeT+iRL+S2UBWPACTMOIKcBgcTrhE5DK
MMCfnFiKPvmc0DoMDb+bNoc2kWUYDSSOA0brOwsHgkkQSKAsCV2fnRc8CrkyK8zKtmBp4j7uxw+F
1vp5+9D0hrHGjnob4neoKNOLajniNnvUvWQkzRxvFg4J9s60aow8gE++z5WJQnPoBpStwsJfESmj
haEsFzXeCy8wSl/PR1xGCyZ36E26+2Ti1ihbbVPi3gAB/cGqdNxpytcRRhdIhk91M15F+D4yZQDR
zXlbK0tIjPsjwCOS5MU15EMXYiruEWUjYQh65SljCVuOU5bxX8NxMirrydjkBxcvyqDC3ZU5ZZqw
qTjKsJJ+8a6grp3X8oujJULJA7VVhi8JfpfC5m5ulAOGeBDsPS8tzpjRG3wWALvEct93OGfyHoVE
iZcGZ/q6w1vThNUzmTR09DlOvFHIKxcfjmvUhKAra07TWM8xXp2RyPZMmXdKV9xauHnYUt2ayt4z
L8PZVoafCedPUNBEegAPIzxBsZs+JWZ6FertOwe+wipL9LsOF5FZZeeITijV+6c0F/eNshvl+I5E
rvIJmjMSEXBtGJPC2ehXCV6lzKxPNd4lviTHUpmZIlxNbcCyQdmceiQuuVkDpUEyPeCEKnFEaZ5x
0uisCPfRDgLPlI53qmvqQ46XaoS64C3p1USaVZctt50yXTl5fbZwYU0VX1kXRFaOPyvAp5UCjxG1
fejwb7WiOjLHORhW9Djg77LxeZHrmNG6B9vBRuCNEyzFEWYoa9iCRywwWY/jGSuUeazFRRaV6SnG
VTbhLvOUfIdp88ooa32d4EATQ7wtcKRhizzFONS+XMn/1iZqKvvL2gTB3Oq1+fDa/GQDrP7x1/IE
MRwFiMDfy3hZ5Xp8U57ov7Hb1ZGVUxwIurU/yxP7N4MGjFG1VLve73RyltLJSUZZFrGlX3zG/2Aa
/WODpobaimJF8YSCFoHo99WJFRna2AHkuY5gzLTX0/TyzcfykzoZ1fcPLaAaneMIsOn+SAK3nR9a
wD5oBZadqb/GueSbZvU2V+I6C5I7u+necOZvKDhw9gjmOIZWHFic7ps6wRuPzl5qEiAPVtfCaSiS
EML10Va01ScNB+XK9K56G4hb26XjaomyizEYdsqqt6utSwjNSCl7oGjzIa7tCGwhmSLzAmJdtw8T
maFvI22ZZeWRZO0bo/AWcfapNrOASBJk0YL5LvygUHtOMhI9vFR8JGQp33YGUkDBcvdkMLADmOte
nMrR/Mxtnj1coT4iXxboQow3yTQaMKNKuLmNxXy9KU5DE78nY+jKNkGzePmMV3ao91lR7lnMLhsy
fx4CO+Pmis8ueLjVwoOt6bRGhpgIldIuSGRAcGFw2vaQncKqu3cSko44IawamJ+u7YuqP3aVTjp5
P99OqXskSKHAd8s0tUuPteO8BsYwkuHAWMzTNn0av3a0d6tWjUoJHczC5KLB1aC6IkXBfIGbBEHb
2bPRuhIFXpnGHM4Zyacyt6gU6j1Rr86qFN5jEi/dfkmzmyYoSa9aolMX6y9VbaqZWXIUysyQUXER
+sSAd+H2RZeyjtop8ns3PswZnjc7sQk2S+h9a+L2S5m+74Xnj+SD8beAXFl0eOrC4gicBovT8CQg
ZmH0vJatfGm75ZLGoOhzxGW9AhuL4RyNzaFkxB9OyROGPqbu3rjPBq5YM7tHFI1DOcme4Ow9wp59
kkG/LRt5dBebgqd5L0WHK7bDtGW1LyVvnsN1IgNi+UQcjU/6x5qok42VTlfViLStr8OKeTPxH53b
IrADvRRK5z1PwZapxUsYqLTUtku2Wt/ztanf5jLZuyRuCKt63zf6i6Zh1nLQO6XsPYbJW+t29mFJ
g9s0NxasTuFVmih0SlixqtGch2hBL1D1EUkwhEzoOdNMg5BUraIedRfHPrtTWxxjFI8brcJVbsv7
xBPPfdWGW+xJAJIq9fQk471u4LjpK5e101gTGsPMQzPsu8nFZNgjkDyxuFXxMlbre1k1rEz8+/7Y
IrDtTKxbCAx1iU0JBjIcEA+6Z8RwuFwNlUT7kDdD0BKmoQWzuoDj66mJ5VVdYQzz+ChWVlqF60ZT
dk1CjjciIskt6zXd7xZyT4ouSO9KV5rdKu/1UyUV3mo2Vx2mwq6bLpWo2kPRUwgalmr9zbrdEx6d
+GHcX0kj5J5MqwIQtI0AZPH8ZTKNVS+yyi+7umQFE2cXh7E8ACiivmBtgVcLqo/2Mj82gfXqpPWe
8+2cREa+9gxwa3OmXQWpib4hM+C0SXtad1mZ35c24gQUpUH21AOtGgfyelkFXgRwH06WdZOIjeUY
/YZAuJNTOxyIBr+0M94WPSGbTC+Yr8zHsA72jL2RNibraumu2D7tIjs6Y5V+wsKFEkU/juwBd8WU
Mjqja2vjDjVtIE9GB5UqQCj4AVa1uSaNCZCdqMf8ITXycTtQTFuEDa0t8JRr3Pypv8Rxc17c9Noy
qz0zjVujpinMsNhNYJBUu7bhyDuYgMiRqsnmkM0YWdHm5Wa+7lEpZ5sWqJY/j13uceb0x1GX5ftC
dHRUsfaGmgVdTc+Ai5cDgVlJcYHQ1sxrJHPDfkiiYQcFad5x9EdPQc0rmH32UCDpYcWne8ee8c0R
vQ4kWJvFhGO5LCSwGIrSebDrMuE/JSpn2aR7mUUA/DStH2QwP7iFvTwvQUGUaY8ywu5DY+VgrO5g
Zu8qncSDcq7LdcY/XDHZ7p+bmInS5M7xss7iMeJWirq9GIhYSUemPG7ebOa8fJED7duIMNQhd68t
cWs5x7Se3+lwgIcYvTGUvnd9Zj64fe0RO0eOXanRQpZBNpOLgbCm0vUX4jqsjTWJ+rmXFX7ekmVn
GvFFR+vLIDOwnk3KyXuA69PW7TVvnfT67P/6ev7ZGIukTYPYElxtqMC+v/7B6zELDpPiulMJ4tNy
sOV4Ozbt9tcvY/78dZQ7hIkwj/2PRUDnLHkaRsV1nmUqTPIdpxKO5/w9x2WzGmdPWXCz/QAxMnPT
fWtGzElNwvyKEyfVlY36KPHSWwKm7mSt+1bUr3uvWxVh8LnsQXnPPAJica+lHlKu/aeu+0kB89Pf
HIing0HHxveHgO/b8Y2d92XceWlxPTL1DWfIfTl716tfv4j3V0OL4wkLBR4zRRKfnB/+DijZqzlP
++G6Ctn0kxR2sEoOBj2ouTfAUCka2rNWZeUtoJPN7OkHUjNV1gZiMDW+WZIclBlbvz6yvPuCW6kv
BxIFDEYwhKaubWKnlHjgOtbi4xTQVY8mz43MARLOnr3ckVPxmnYZsiga2gV6bdAa0o+yOPXTzvqo
NeaWIThJpRZ29hkj07qsWaJGZJ1wFVHaRPLAzPcz+9bXyWFdbOvKhpCdSYkYVo4za3vdGJMz09J8
tUyQpkMDNnTkJQ7RV+Fj0Bv5Qz2SrukZIcRDMgBaWYGkN0Yfcy2Zh8ik5sRJ/Uo3L+gii820sIcy
rOwq0F97se1t58C5+OJqtHPOaOznRLyQkhqxtWaNWiHzsjR9swhKj4nHbEOKQbmZtHzfdJAkc2NC
vze8prEZfZwze6fLOt84WXQ2yyVbWW29xXVOyJo53eVSZjC6jZUhl+lUO+35118HSBXfFc3KqkcE
LoY2vg6uDrFJ/fyboSH7gbLgZ921Y5ivltfmm6Uasmup1cjw2uh92KLUIPpsbchp48YZNisrO/Op
sC+mV94z9T4jqlshwDjbpftsiSLatkw+tiiexSG3CdsMYyZLjN5INihFvje51DejEauMAzLqsOHf
kUhSoJ/An5wDkiYhAOwdac+rriJstaq3Ml8+NqV8ZQLKAsEoHaIDzHfSnKmdZ+QinbFhxVqvGzTN
q2aUz+g8DmNgfkKIjL9k5Bjwsr0spofAS66coVnXGDlQp/ANYfE7m/f2MJzTJLqvY/sOh8pOzt2z
m6ZiRd2o+7ImDyACHtD2qCFcJQuwGC3qgcnNIbVXje/EuvKsF8PSno0InWrdLZYfwT4cFg1l41RC
L212OpslrxhYZsBZxAAi0k5fu+54choEFcbQcs0rlHj3YI3VtYfkui3nV/atH2v2TIUj1VjwnPbF
JkVnhgDsyinkdiwJOHHIhYnhu5tefJtWWnrAIueXTPNkhnCtoqApZUhfwsM4aN7tWHdvCN4CNvwK
Lp/gKOjTtUQPaoYYRwyifVprF1uoC1wjzH3IAOtRVahpH11pJB2lxvhUlvAvtfiG5IdVGOGuTrVT
zi0ejSHqBBi3Vbut2Zd5ByE2hsGtmQUjuQpEMjR5tem1OiEDgXRaUo4XqHGOFzOPNsL/x96ZbLeN
ZV36XWoOL/TNWlX/AGBPiqR62RMsNzL6vsfT13cVEbZM+5cqq3JQg5xlZIQINsC9556z97fFaIZF
d1aVVYxU0xjsM9OvTZC3aDCqA9GIVL1tKoFqGMrNlFo7PRj25Uu/Wag8EEEo3oDRNSwZ3DecElKT
+EFQ+Z0liEZn01haOAkG+5iNK3NaFfrGt/rHUpbQBshXplHXpI7rhzgcgEX4vr/HwGV5jUHfzkKn
sR76eVFSN2zoSUGjNa1N3VOFWAWzJwtlT0+45jtb2ztPqtChvX5S1dCZkJIkHeJajFTNFemh3tij
yBlOSX3FgO+vYfh/a+X8dZzw28oAbv7iemHO6YKVoSieEWD24w3q5jx4Is7+7UVITIHLn9Lwv64k
POJ43m2AoYbYGV+tQUODCBJ2yoi4c6LBHAEuiHz1zkBWuw0L3MnJ2GP/YchWYJqHgEuj3YwLotdj
ZDEDr+s1ivQdZdj1mGu222vdgxQVJ7hjtynlG6ce6N3q7RjARsjbYJW10ac81h+lMC1vgi7pCXIM
23VmdHsD7SiFxXJSkP1S4q3zVrMeHdW5LeGO0EnZdVq7jTR1PwfT1iid05CQzMi2bcHhSNSch0kS
bh1vLJXHrKyJfvC3Q6nQZ2ZSCtH58yxPhpcOwceKMQAgBb9dqo0WvPOt/tpv+f1LFXr8V19qYup5
VGPaONrjp3D+Mtnv2KHfe/2LjUOWUmrkIJngod4iu3Yr7f6d2+Ltu8K8uP8yM0vkRA2mo6GeI11x
+ZrkcPLevoj4Fn6/9QDRU5Ji8Dcvbr3RaoawgSd1dHBttV/bIaMmuY9G651f48Ud/vNCYjhnaJZF
gDvNL0pT5eJCUxwha5lL9UgZ85VNbXGXrmCyL5HoeI9u7j5uQVscvtxEXvgwLj/jlf/CE91stO3b
H1gVfbafb+S3x/rSxu70kVM6ActIu+oXsoes7LZbZ9ewaZdCn7BS1nzPK8VDq+6GS2dR9kv9mH99
+10Yf3oXrx/5i1llSiyqraKbPj6NW3Vpue3KOVvuqdHdcLF+NLwDictr5xiuxk1+a2zu/AWI2A3r
njuvC/JRFrTOFs5COnSbfN2cSNYlKnXxULjdUfamtbF1tsV+2NT32er27bd+oTT5/cG6qKAltYnS
krTto+GSO7NqniGJ3ymLysMwuwgXeLlW2a5Yn78elt2WNKTRi3cYCHfxEeGS5y+ReXzzvYe335X6
a/Pzt3d1KROIoqKvLZN3FW4dN/TmTbb273J4ZxgCXORjLsBBN13bx2qjfqKRtnz7+uL2vbyrkBj/
eI4uVhuWGgk/8DQe5blYWsOwn0m07zu5eGdTEqvKW9e5WHXsyNb6fgaCSE3t9sNXedwM5hcmtJUM
/qxcvf2p/rzG/fhUl4dJKWPxN6q4O4ZoQyegY8H1/9sFLs582mgzG4UiecSWq8b0AR1r8fYV3vlh
Ls3pUlbauTXxoBXlsSFNoFTB6drv/CrvfU8Xi1ujpLh0rbg9juJXIWjLGf91sAQC+583mHVxg3WI
O7u8yabj0I9eBF2UXG7C8d7+st65u6yLVcn0A2miOcduMJqe7uTLJG1PGhgqC2NqPKjHHgnQ25f8
4+9jOAq4H2TsqOW44V9t0zbICb+M2u6oZ9/reAWekCbf+u1r/PHneXWNi4cmRcQlVaE+HuEb07+/
zrJ3ugrvXeBiSZyTbNRistWOMos2zehES9/5ml72x7cefLGhvPqewoihj59yH3M2cDEU7fpNcsUR
wdvVXrgMTp2b7d/+1rR37gZTfOpXlyQqHGW4GrJHPdEYhtHnkefhogz+rBzmbe+e0Q/yL1xjmXmK
a19L7k27FLv6+WN11nac2tGsLtGLbHIvXL/39v64kb96IszLOyeqBxlGY3tUTmIjl9xmnerbXPHc
ZK0vHnN3hyZv/13+wuGsvp/2gzu8s3oJT+mbq/HF795LDaZsZ6KWWGDSX8AXUE3X2aeLGyyAB23d
LT5iQHdzOrarel2u3w+ufe8tvFhgXv1IEmhqPR/K9gih2h0XdDbjb8YK3d6+ex435TI7WGtpLX0P
PmreuE5OEKuf37lP/rz1/twlLu6TpNcyvcm5NevVuILy4Eaiqtsm3h1kyO0WbqE7H3FoPYLvXWSr
cm2dETwsumW4BSn3KfXeeT+iMP7tUfn5uBsXB0VbcpgN5Swp1ZIglDVUjHE1r+ZDtFfcr8CIVyTX
bcsNTb3D6Fn3S5vqAF/+OlndRgtRJPxdHPxndK+xC/1o8f5GthGywhVdma9R8/UPiBvxx/+M7nFo
q7aCslo2LJO9gAfph7JQ+4BrGzWe0EpzQGaV+kdZaH3g3Mlo3vn5V/+oqwkhJSdOtPT+LxA3vy7v
nF24PFHUJNGKF8WI8+tCaKSybMd+PZ/m9rGyfdJn2neWd/EKr25ZQ+ZVZRtGsq46Kpe4eISwm5rl
WGrKqRklJuErI40w33zr+82rH+D81yu+Zuv9+kns365zUagUklLiiDYwxIkIuvowWN/evsDl/OG3
K1ysygGGJpXWuHJSR8vt9XsLPwtAMkc6OV2/RGDvNf3Hstt00bkFnaNEz3EIfPKsFtdtjk+ctIVq
bxoBBmIm6Toon9shCxejk73zVSgXi/dv71Rsf69WTi2S/HaoxXehkc8FxrV87Ho8PIp+GkDK+mSg
RtN3CxpExf+0zeiddQqAwO8/ukJUtynz8xsM2H59AzkK/LaXrek09TH9OsWp00MCrIARfglA2HPw
6oN4tkECjY1rdMONkg4mxpwCC7YszXR7K/RfJc30VRuIOWWLPyvNntRM2w2+3KBPkmLlftSyeK0l
DkNz32aUE8eQk+ttiYQS9u1KaSd0hdM6nE+9GS2zgIWxklwYMOsa5k2mnv05Bo70JKLaguYOO/uV
1qbQSsxFjwRbHaBy05a2aN5PcblIjDvYN9XCxNoyVzVfouJ1cJUtOVuKbmX11CCjmCQNfVfOFFW/
Joo1HrN1D2DuPjOA7mj0jgvnrtXNBamyRNozfzCiQAcNWNkL2camUyTpRwT2bpYhRncYWy2SQH+n
rHtpKf58LH978PWLx2WI0J23YzOf5LW28bfzoX3U1va2PtGnPrQb+u1LkDMechfKsB0BrIvxo7RN
Vu1aXptX0Sp+Z1whHp6f7+f3x/eiCNTTtLMyccsWyRbZB6qRmoJsVcnvLEd/ujNfL0cXC54dZXMa
oos8SSS93o3fqsCLOg/np+m/8xBciJb++kivH4KLLpfD5681J1JPIbrsMzTtboRM4Q7NMna84DS8
99H+tALi4yEsyXYcm67Urw8dXbXRslJNPQ2Y4PP5Sy+9c4YSL3D5G72+wMV3h/rYIn9dVU9NvxAu
30HyECq/8wO9d5GLVdYZHXOeEN2fnH4/V7vWvFPNT2+v5H/akl5/jovlcWKvxlZiqCcxchpTnLjm
jRMfHRpNLxf6d1dHVxETrqb43v5P8cpfi3KqoyBs/+vXf2z++ufguRDlyC//sHyJqr3unuvp5rlh
hvSPmE/8l/+n//JvBM3dVILu+/wti3KU/20dfW3ZXi7xNBo/y9vl0a74XHVR/uc//VEcySSXcD42
QdhcWM+wXYimLWpHdAU6voufxZH9QcOjAY0P6A2aQGHW+Fkc6bby94uJOfi/4jz7CwH584ZnkRRz
U13EreiaSFu72MYsonDHUZ/q0yRhHSpdFd4crIbcjgGIhPkp0lkKQys8MlVa+7NpXFekA7lzIN9o
vn6T1N1zgdvMHceQPIN+H1rKignGAe2eJ/UQ0HPlYOcKOY3kp/X6SEiadqBJwai4y46qbq98Ig6b
UFoVk3RtxuG9NeWPxth6tl8925i8a2Zo6ZRvE8bQIUm8OC61rWGHD0D7PWh211OSHjtyNwg2OI4W
ZEDHHBESz2ujZo4WBfcGcjmJT7RM6+GLE7VXPp7ittY+aUG67tt2l/smCB1n3+vV0Q/Do1NgVZ5J
Cw3LYwdpWivIHxnVR6Y/m5DcAGeaXIlMy1iJj1Rly74jlKyZF6Hcf3Si5hyG3VUwTF6PgVwH4E1y
wrFWscY63xuiIEiHHzqyGLrd7Nif/QHmvak/xnG/lRpn0RsNYKsZ12jM5HN2zbK+nZoJ6McYnQLD
2iQWkRyxeW802WaempvMbr/k6niU7PwY+tWhN7ONMXe7rJ42HYNwKyi/W3EJ6A4CoO9stUC/sUIk
VCAHNq1Fb0BPB8ayluQqE3pvP/msFfqNU5peiNcQfZl16qT2EKiM14N+W89Q1S3pJnbGrSL7D2iS
sM5oSzMX6aXA5H0RWxD6cuUJaXdkpwOBFRXJGhMhskVkfrZ6nDZlNa7t0oCSPpZo/bGZZ8P4JaeK
D4gSI61i2UzOMC/9xq7jTUww+rYtoKOc9HkmfDyG86+t+zoHiaLgmenHZguJXV4XVZeSyFneJEVb
7nITHVhTYYNDgqZdQSzvF/1EWHw6gp5zcuD+vjbHN6qirhGqUam1wSbOCZiDpWQv+Uizl6vz7Cl5
x9S7BILY2nLsdSTebgiDMUiAmG4jfaoWxFIhKdNA181dW3qUUTgsg+Ye5hDR6iYFW5yq15E9wb6M
EdX6wMYl9U4iibOwtQUJgqdZNVZ6TbpqkwyLhGE95sxneDFXOI8fJewR8VXdIRnkv4VKUHaoQ81g
GWXFtVpAJuyQigBOaqG3k0CBLB+ZYKl/CWBwujJkSrdsiMpsCAYGwUDEwBh/Q1VIdILeZV7fQ2pJ
VPs5KJ1P+aTeG4b5zPuHIVDIDTHzGlmeJbpQDNDlwsgZxYOXoj9QKjgXa4I2olMfZjvwLw/6OH3v
LHkXO/YOfh4SMIkojCB8iGZg+FlaHSd/qFZZjx9U7STzqkh9ENgh0iFoPks17LVFpyMFHpT8aYhn
vuUq+yYVNoCfkYBQC2XrKk7GrS+l61jGD+HMPQAOeD9g7E+RbH3Bfv1l1HsweGPGfWuZZBjjPrDC
FChSLaHeJJGkxN5daeraL9SnlsAJhvZYphpgTwH6jc6MnqaASEJH0r9GPjoXE/qH07VfpK5eNCqW
2tGXyXvyH7UA7M8E8mlWOxQJRB5oHbJCva07d67LuxC30UKOpwl4IL/76PtPGnAIbGe+xf2lrSCE
ESbpDDyiUTIx9uCxrMkm5+1p3zOZPL/eD0R2ISV5AotxyKot2SIm763flXZzGjN8/dPcIQHQtkMo
k6bWP+SyvGsHm6wcCZduJMGC7OTxkITy7RC0eyMP75QJHh/RU4u8jnvX1gdtYY7SIYKx5OZTcl+H
Oj54/FGLlBzh7jYMk3xVD00QelLhYymqEIFIcR9u9RYjfdrrbi6jGyQKCb1ZDmWVxnexGjuVHMzp
uhR555YyptfMfP4+lP27i5H1cyHovc2vxcf/17UIpcHbtcjVZ8Lw/lCJ8Ic/KhEYe7bCXs82b8sv
TvcfbRr1A9AebJeWQ7rhi/niZ5sGoqeKwUKcdPHC84I/KxF6O5x8jX9Tmwb9lo3Fw8IHosoXRwmk
SV2VmdNwkotzHehLRGyLV1/KH9onvNOL2h5EIIWOwSfEYqFf1MQgOxKts9CTN3q8i6wHST455LTo
G8U/Dz0mw+Xb13thO795RfGOXjUpVAx6ERaJjjAEZBX2BLTOnZpCzdwiKBoEpIW961u4YGZi+G5j
rswYhk7lozxctllrLeMgNz+NdJ22pobhaqpID1OaQnM1OzwYBRghW028spa/9VLy3RmlJ9KbzgWw
Z8Q8ekw2KfLhHJke7ooQuyIGDTdDAU8IlblupjRaGYz7sbBHxdqfRlRsY0TQUA3/I4fH4qIQu5UG
UKlddGNT3SETKFwr6g9S5fMrxWT3+LawerULfUJ4iCrWB/bn+rDyikI59yFdDMRsuYyRNImDfeEg
KNek+xrAC6DRT/2sQRgNNz2EtKUC8TNq4eKU9i6MjNENzWJYSWXdwFecrpA/zbdWKzus6cbU5LcF
rJSNSa8lJnJoU5Hj1l7PL82XLqvH4pTSU2hxQx7hIxkbHdcDyThahU3MPpgm2io9O+D73I7JAHjB
RweaHKfZfFRE7jdZ6RAONG1Vq9FX3ZC/peB9loOhX42lvvPh9/ZJeWj9YUma3hZ48VmeKy/3q0U0
TodhGg+dXReLds5kLzCGfdPLjxVoR13H25vl8z087MD1syk5Rl1+zpMWrN1wTOZkJxeJ5Y5o/kmH
AaJUjTaku56AcB2IexNb91WL9T+W5GClZiXZvN3QQi9RIWKRq3tIodauGlvdpxnb+3DSQ/um6Wpk
mCHAyTBEJUGej59G5y6Xboc+RxLLzwLEdmlHDna89psVYqJTzPhaJXPI6bIOhYJCVpjo6EzXbVcg
7qAHaQ76eqj7laz7i9YklkmRF0VR3M65fs78CnD1iD20TZP+ZpzCG9NXtjW5wHZpP+lJTuK4Ud+h
WqN3ENXfc63nbnJAsyCmn+lWkZpBslH/LA/BPifJq9LJ5mYFI/2NpERNi5Ywgck4Dc5h1F/pRgyY
LluPsrFM0cl1o79vmmJTG7ga5hashXQE7rlQsSXKmnk9YQrG9UzFp+n+qnK0B71uSFwiyKJK8Evn
RjptEqjl2zrNCbdhNqxN0i5p5rumHEJ4+i1VVHEb90CmYmL6Op+eR2ern50u/kzG3VVRpZhYYuCZ
2DgnlMJD5hl+b29elpn/bHo6W8Cbmx7WQi/9s7GQP/2x7SkfIE8ocArEVAlkwavpBIML0lcIxDBw
Hf6ClrU+EDViiiGE/oLHoxnwz7ZnfiBDQ1OxI3Kf0GT5l9Cy+kUP7eUEznxEtnXarFxNTE9ebxKW
EihpWhvFSbXxfoD/EOHfolAE6+aqY6AgBU5WKWb3PMtVIPl5+DHDCJ9hWLXx0RYY5K2u2saGdJol
2FGcxwimsopDKlz1PFoPEzZ72ynlhd1wcrWldtljxf8rx6tF8/3i0C9i63oMSOZ16zkuZXx6xGMu
bGOQl8ooH2GS9nh39X4d+iHJywaLUi63JA4qGIViHFJKQEoTQamzX+Clh7a+6cwhW0i+TuinkKVP
EKxMIFKLUADy+16+75UWfPq0HFR0qK2jo+GVKWMh4H8lvTP0yozXrRxyokBGvdT+tPbz+KsTcTab
fPjWXRYK6Gm4Zc3xt2nJykBHY1nkkryWEXvvDUMaDuSMgjjoM/SNdXwfVRk4nbRFJoaFr4BUZQjM
1jBjVDa7uzqqsM8k1T1ZBqeyAhiAWf6gj6SZa5Uvava8W+QSUudB54zr1HynSdVdlWUMfHcq0hXO
qHVZGztCV6DJ93TexEhioBk+I7i3NGCoUxJ96zmQBvl8nNWs50Cpa+Ci6qe0BU7QFYL9WR660IYL
KwPfQfTmSTN9kSJhoNEUsUYQcqwtUtXcxq15nfgT0uGhGRbqHCwrPbNXg1R8rVTixDjXEl0NNK+S
1oWcwVyNTpQle03DHMj4d1/13DN+15yryGxdm1AyT+6nbqkLD2UeeE3cratKu7KMkM6JU0he1cfF
JlGQcpfSuo4lmr9FczUnQG0M4OMshOaNaqpXDmaMZT0he9EzHX03oYm0U2ZYNHpLlziRyXEZ/GXD
aGKE17rq4/wq0P1PU9VPq1Sy10GjmQujlR/0qvoUaxU+CNKFpqo1EfQH18GgHJRRNCZGTs3Ot9oc
QG30Dd9hY26DipYETatD2zWnCI29dF0UVjo/T2OabCwOhk5SPkD3q6AlgmoVR+0ck8kubp2PRSLf
kCv7zS4nryapq5yDFfUYyINh57TSqpbVfZGGx6godmPcHPMiPfc51jycBx37cTdsTd/4PptSRyU2
aPo66tBpg1zr51vVnK+CispGwUG1CkS1M2gm19XXHKbXg6iHcE2C0NPOtfGxEfVS1jn3OTs1Hq99
rZKSkLUGRz3NDcr53M0q/QhOhpPRXbPYcXokuxMoK/Hv6H58CjaN9FRgVwVMg3ZfUNJZiuX5U3A7
l5gYTVH1haL+U2sorXoGyd8JFAogUSdqFIx4XoJNJWpIVVSThagrpY47h/DgGEoLVWdG+QnY/snS
8+8FZWkm6lMQTg9zjl1FSQRXjhrWENWsXPuWS2PqC64twAxJeEUIG8uELJ+zAsYJMfDKCU7bswb9
eSnPw3PX4NXIzPEGOCU+3rz/hC11Veny0xRZV3ZarbCAYEejYvZsvdGhwwWP+Qh3KRnYw+2JQzRp
bWV9dqJ0L8MOmUUZY1T+MSYwfUHswIaADmdnSca9TbOKK+MidPQ7RTZUrIUFrD8sNmBE4nFZSerV
yGNwtgrnhoJ0QwpABG8EVbtFBJtaxogpCk11DavFsAxgpE0IQ3bIaA4rMnzbCbk9OVNLxS6+B87X
qLRumla7SfhO2AeIEA3ylOrJPmetupLJrmQJw9NBy6BGpzZE3tDH67DCVBzFKSeLFmYxL2fb5Jwb
BlgtIziGoCBcnKX9XpeUfMkPOm0MvDljjh48K8MFKQXKgnjXDWl0No9tHWxHkod9aZHY2j6EzYqj
w/oE+CQitJp4u5F+QKCPKymsbtXIXzPLqOmUmt1ypFnmOkHzFddh5Ek4MGrDmukQVEiPaFzQ5Lvt
jPGgy03sSVq17mBFG0l5HIoy3ZbKQA70eCNPxRJX37QywLEUlbOBrzzg35261dCpz4lDw6qxrOss
tOLlLBAv/6mnmCXQ4H97oEGSUfb59w6C+KsfpZT6QQMEiqLCNv5G8f/oIGgfDBh2eIsRQLyMJX4I
PewPNtwGG3WgImoc8YL/lFL2B2YfdB3QZ0BNJarqXxlmMAb57YQPO8LRVbQYNqkAL6KzV+dt9hZc
2nIsn1SNPPCVYbO9aZrZfa3jbtnryYjxG/Y00oGcM6Pz4LcEPvqCUM0x+EubpbeWYFdTMy66low5
tI1fMFdvGzDX8JNwXgvydVT1C1/gsBNN+TQIQHajgsrOqmpb9TT+5uiktdKWANIrOl6uIiDbHA7Y
YkgDca3G3uSQuOdBWlhgddvBLLwCVjcdYl/YaW/QEDBFAOdtJDnDDYmjGaRvSSC/fQH/rqCAB1iY
0/gpBQ8+CE54bMQ3jSCH11UDYNvYZzJMcTK015OgjMulfgrZ3FwZAPlMw6HPu73d+N9KZ9hHTB9V
QSzXBbs8yP0rrFIYD1XpIwqLJSdJ5XM9FXCvQJ/PTf0QgUIPLPq/8AMrjxXsfgSX3gluegFAPUns
q0kQ1RU+gw9iPZrLz41grvd+Ei2hdWENVSGy56DZfcFor+3sfgLaThPoUyYo7gk499Gu1u0L3z3L
RAKRsrJBv1e+cUpUqkkDKHwn6PDTDFDBdFYd2PihD9ey4Mg3AOVzQZbvQczboOYHwZwfgM9HoQGF
XqUEq5zkoRKE+iRpnwyQ9YOJ4KEVEHtg9qqiBQdCkZiZ6iG+GxMPf4e3DAR+49OCaIDiq8DxZUHJ
t63W2Q1mVy7BLX7LA+s28Kc1nOJxyVa2mwr1pe3xPOrlfjZz+jztI//fJi9YFvXeZjNVoTiEcXvO
mzg9OGN2Zx4KJUmJlaftzPO0AEscLqyu+Z4p1Sa26rXZV6GHaCQg/DO5UrpqWRb4zOWk7zHJNbdK
X69jI/moTwobeRe4RADsaR84XlvgucvzDH1OCDWpIYmuRfc8Y/2axGAIC67tJXN9VTopjuJMeHwm
ba0GxT4xdDBcdAcSp77Wk2EXh/iTwhr9oMN3r/v7lqhr5i+RNX3tgqJ+DJGhk2DuZLZrgti9UUu0
xIFr15l0LZdOdYMHMkvXyhgxg5NXiRRCyFb972TuPPuGI2MjJkpWrqydlY8PjVl/aZMOTnRRXFsB
vIkwuVbYPmyCoT3NxPIxWrjlrH4BtLFe2VjAML/qfLhyWVnMuLQx3mB005ch0S+uk1qzF/dN5pVR
tmgZ/Gnm9Hk01UU1jp9sH9enM93zQ2PEiqXtFEmHvArXYSJtc4pjIjC9ICZGnaCpGHJKYkNfHmmJ
Tfq808r2UanqRWjg8lTx6vWZDRgywsMZVez/ieo6o7Ue6DZlZcYP8tACYJzGTiRIez0gJlROgZvk
Fnb6ZhFGzlMWYzRs6vDQl+Ad5ypyVmNmMmNI2MAr+Qid+2tDV0YGVzWNFiNH3RFTmytMktuh1pDc
qHCW1WHgt4UfIqHlauqvpL+f4tFeNLF+J0cBPP6pPsyJZQI6yZd6QsqCbAOmBlG9UhL51uj8Z+gH
3J19tm2dwGYg2G+UwBo9qaLVpmVnX6agDmn/x5FhuzZ8zFDvrgYr34/EMrtZAsM9sHEewwsnU6Aj
2KSe5LVjdefI7B9ltdz6VBkmGqtlEqesf2MuYU8ubjQs7V401yedNOcpiDdikFJG/dE357sKwwgc
lWtf7XZ11bug0QCkO9NintWVadZLTVK2cMP7BVFsM6uwtnKMdi/n88omPddzJgktmfwFjw/cDLX7
pDG/9AZm9Ft4NmdFDNGC4FqZ7YNjTz3gCClamfOwk83EA7MdehA64mUmRWLQanQQt8ezlkrEnk1n
1bG/w3Fe5dhHG7NdNrUtraKoyr1Bak9TW55by74fIzAlmcFkdMwMB4yrmj4lgPCB2PTf46bbE1T9
kHY5x77iEDp02Lo6uqH+X6i00YwA2EKnlMdwRM8bz/eJouJp75MHVuBlkxvXteSD45Gdj5JZP47V
uEeiV7pNl1meVtpeq4R7lQFWOBqngNab3ooDqT5t/cohckPxyVbeAH5OHoBYD4mgESkraW4Hzx7t
ZSpHW9UQYSZDNi/GIvymIwdYTH0xgr9QPjvzfFJqgDiUC8EiwCM70m5gbFp9t6CBeU6LMD4i1KKj
Hb0Ii+ixiNVzkak3dAwHAqR1XOnNV8NWF3SCKdSnU2OO21ll/aohhtC3y+/HSXoox+IujSh+h1xb
lCnnQJvhQp9AnIOAQIuy5Ozcxd113ZJgZaRQfnSBvzNpE4xeppAF/Y4kX/1VlEOnB3UswxWV0Efc
EirSjV86PU3FdGZyNOek3Gbuk7Hqz5XHecZzPt/dNFeERC8Lr91EB2MNUGhTrMKdwSz6Klz/p8D9
q8BFxfNuw7Du5j8UuUL/87lp/9f/kKBOocpRFINalhaf/QsnlfpXAQtKNW2jmLf4q59jMuYYL0Y2
mngCSfCzyKVfyG+vksBqybT//rXATvRZvxS5L/1CxNQkOdC0RJ5zGUXl+BJWeNsuTzkKhhVRMzWg
qVRdpMRkRrVmL9WYXn+DP5EmlgUu2Wi3laF87+n8uEWWDTuy4TViMkCZtHK3CYpgiTMcOFPNYKnI
cdMLunpsxV8GvwYv2iOf6XO4fGnb50srYzmXysk5gwq7N2oYlNWgTZzj5gNOrXvEBoUnR49+rN3R
Z8pPlqBtFoK72QkCpzwq0S5LIdjoJCIkjnNNu2l0mQ8/g0PtVpSdw13OsY8x5j4ux2klj/lSasYb
OnFk5rDVp1JFActRVK/WhjhL9hwqM6u+DcUpk1L1qhHnzqDV1gkR3p7PkXQSZ1NSPvqlJc6rGgfX
IKpudWdaheJE6+iUdHUdbXsOu4oSWt4wDjimRDzBjO3g5XA8knchjssjGIFFWuPhBAnivxypxeHa
EsfsNIIQmnHyJhNn54ijOIHsy5mzeSwO6ZE4rnPmXg/iAF+Jo7wkDvUkaZPBBcC547yviYM/WAgg
PrQCAEbeIDy5KZpvKp0Ci5frROsgEk2EUGk+h2yeXiMaDDqdhli0HDTRfCDh2C1EO2ISjQmTDoVN
pwK9cnGuMuWqEk0MWbQzItHYYM6rrmdVvdNF0yPpnYVNF4SwYmdHsw/VEQ0Sk06JLFomBEStfHoo
TdGeB3oqbQo/nx5LIZotihE9OqL9kotGjC9aMg69mZkezVRNT0hVVvTAPumiiZNp/Q3dOqZN9He4
8khQRPrci9YP51VUxsoEHo62kE9/yBGNol6rvyiidQQUT0WowYQ0lDKL4q5zSDrLm4peEWwjJqoo
GsojkYDWrhTz1vFl9Gq9jGG1EpU03Gq6e/aw6w3NtX1rVZfjptX81WRow0Lz64+Ozo4Op4yBackl
EMMgutnUA466zuArtgN/LWXhfK+VheLqKpI0rbRu7crct8r0nIYVG2Ri3KR+GOzNuV/OWX9UQwRc
7KWIguAxgSf5Fs+lg7rJ+jZaFhWiDSzWIH0Q9GlzDXmLr7i+8hlbLqx6KHeFRdeWAyJJY/oyKBCq
+YENTXic+IuRcDPM2hPsCf97WvpnCFLdQs9aGXVORxpUhxLYn9N9pebycpbNahN0QM9gnhE1uhti
tVnAL/gYE45BlGrbHoh3hf/HUfBZlv3krpD1Ei6cTaGkpCFkv//sTn/tToiZ39idouf6j4hM/urH
ziR/kLHEoDujofKXKPRH+0X5wKgKvSjefFwoYsj1z87kfLDYsmiICP+LZji84D/tF+cDylJEFwI3
pepi/vWPqvZvOQWC3P+WuAGK83Jngo4pukNsTLAyMdv8Wt/MWpiFahHJJ82GauRnc7w0lU9F8E1G
MGowAqnN/BDZfedGg6MehpL/v1atk6nkpw6SPli8m7TrPjXN7JFAQyBYEj7ltbGuWP203ObIwnih
sT4qpg6Qb2yXs5XsW8NqcDZQ5qtBd08a8x3Oi8rtHDn1qooBkxyVH/2YxctQ9wZpIZyfP88hK048
P6m6VHnZ2O5Czjn4fi2OvdGmQYrixvn8xIlmM8DQR9HVntEpfAQqfD/bxcGJqyd6WsRXG+p3achh
EXcPkONAGXbGqnak1WzN58hhkM8nW5dO3HmDQ1Ze1Jqu5tvQYvxh2yJBJA7IdgPSgKyKkULT2+6U
2Q/VoI7MdyZrO3eJ4g6+vo/ltMDGK23MIWK/AI+x6aRpXegwCJSeXox5M5TdDd2V+j41ps9pyfZg
VvYuCOVHmZaQLReccuXxKkhKA2UiLE4jzjdtL8WkAnR7XW+2piPOT76xm5RvDaEwgd/dT8wAOc+S
YTLbA+RM6E7p/2bvvHrjOLa1/VeMfd9E53CxD3AmM4siZYm6aYxIqnPO/eu/pxgkhpG8vZvAmQ/w
+MK2KNbMVFfVWrXWG+gFxZZ+p1nEAsdQPpmjC7VU5gIl0U2vK9wdhq41ifbDJqyGNSpBy7wNTpqK
OfO8WEcM3AvNElBI3ZZndc+tY+laYbauDXohx3UWoG6k53J9mNn0FGuLKxy2mxg4FJlcIgh4b0FV
3dtRxW3RcRky1Hph3htW9fQH9HmCHR4KhFRvPIrk81x3EGIuiA54X6XCBIvOpLrQdKyOVGGRhVDR
ohurG6QtqdJHxXeRhEGcp9skDLYsYbXlGejOjflwbGnWmeSrXJfUnDFkc5ZJ/pe4169TG+uutm8v
iRRYYwlbL70wbkN8vtShvxtrsAAtDmCeqbMUEMhGO4YGYqUel8IuLBTGYbrRfujvrcScaKP75bUd
GfUKHe54aeA7NtTca/C9CIWNzC0FOiGU3/WsnNrBuRfrMlmYmMUeDs3XcbtIcTdLAXvqGJ4ZGJ+p
tPTI144xM16HWX7RaqG/9LFKy3UkjEzM02JM1CydMpcnm59dVPLXBn9io5rkjcVFgAHboEsVVbXr
1DCAJg9SdixZ1hgsGIoyqxXh5e1LBBCwuJKPTmLZc0/teOKhX3xshsw7jHxfFMPOwEce4aH+3SQH
m8dANjEoH6Ly5p+48hBXOOt/E1coVN+VO248/NaPuKLgjqMrFMU14eMgWIHP4opDnR3xAqF+CMvz
eVzBp4FYxGXEUTDn5bb7FFfsA0uDzyBDKFAE7/NvlfWp3r+OK8gqIfBJE4EclAv0q3tzq6ZqXUjO
cE6Eq1Zo96TLih5SBFMfkgDnWtjjbtsaEiVzN81Pu6655MBbG3YE9qckjwl82Tjp074A6aoCGqj0
Ix1i6jwetGqlKjWEb+T/Nn1b5BeqDuYAOVvEwBDKx34q++KMII8kQ75J6TWSqo8XSQCDy+2yeCEh
ODfTPOt8tON2nmatTDvWiuZB1hFibI8+Jjkqpk/qRaRJ8WGbgIBKAPjJpW9sJKvHKUdzq0Mc51Ib
6kJqzIM8+qgr9l0XFZeAZDGpAPJcyqZ0GPZSf+Q5MbXa2snP5YbKvapiCcsoLkVgcJ/dQlfBeIv+
nts5p3AXETdCJ7332gs5Gv9MmvwT0esYq8SvQK/WYZ7wYcdOncOQONGNoWebGqdjbt+ODkqv+PYV
c1ttjwcLJ13AfcVcauCD+9heOEDXI18DNG9nK5fykiUVp2BUvoQB10ULB/Z54CeYjBvDtzFQzwha
/A/Q/MD3Ys4orbA/VJpNFMMxjcKaz/u5MrD3AuScrZSoJmfInfYr2enWqlwfN6L+WI53o21Ts7Ha
47Q3yrlVWvasqsA/pE2V07lGe7K0YSs6HiXaTtU/53gaNBLWjIWeL9teBU8+3LkI0tGSxJPY9bbD
kH5vLC9bWJGRLmp95Got1zFNZRiU5WDOLLOQNyA8Lvxy3NoFtpNKjf6tH2fmvNQrnOpMPEvU+s8w
zC4aOZE5+3K8JmKazAWUYKxTfS1dN4p50Xfe5zrNnVmdVMdeWceLVsK5yTZZrjZ+0SC8PXAxwyhv
rDilKpSgLJQJpa2gcP7MXZh2CYiFojKP3c4mxhUogxE3t/IwCk/WbGv1WglxTQoWleSOG7em3o+H
JqqQng5sQG1kOkFjvuh1+KJ4kl1arsWa4ua4Qev0tHbpADdp5MA5GSUumkKVTtePqfddmIqPo70G
6b5P7KVRmSeJqW5wF4Xe4znnfVpVi1hSYZT6yqHsga9DtRVQSAfsHRGx86yXDsusBqveRTfU3z6H
iYZpISLgeoMlnpfccUjBlqEIDf79rO0MeQmLFixqlbYnzlB90HLtNhSBqsr9jRYP37rQOevV9DJI
45DC6Xgdg0mfVZLhUf4Pw1XugcKvXXSvswJEox/PqKLfhSOC4oPqrscGP2yAf+as0kVJ2wsuM98D
9eMF8RIL7c9pl31WSh//qlbflnL4NTXps2BKg4NghvUeTf7TJrP/DEvpGBHlI9tJZDIfY2n6+ZGL
/SMqow1FCgUZNUe6rothTaZzkpVJPOvQ8Jr5nvWlHhE5jDzN2bQ5pthVAme6o7qDjqWjn6tRZkuL
whiD23/C4kNYpAL3m7BYb8mD4m1T7QiN/OaP0CgLozcLsS/VBD3+QtqAqClimw5k5j5s/gyNoq2N
PC1+bhaq1UTUn6HROsD9DQcxWmgmiv/m33NN0gQ48BV9z5b5CBjUCUy/zEd/Dh6UbEmLyj7Ozhsa
uONpqOZGeKbocqgua/rZH2g0tdh1x8aZkRcfQJPd6J7fLUs1uWoVEHWJkpwUankNZvgortKPQYL/
uqRmCIS6p/jlnVJGx/zd6tY4Q3oQlqMTX+4+j2F6B9Gtn2WtWmFUa2YXhjeulATMuQ+TvEFddaHq
QGbjOjytAb/3FE8Xpdamyjdo7TOMarx4haa/zSFhaWVwpEZmjdU0/qPjTG4dk2Mq10K0vySZrpWQ
krZweFwXlnNkxghkX2luTcXLTboQWzXH8/WTMgyq67Bz00XTaom6aps2HOmQhscWxquYSjlG1S2t
0pAWzj2pjM5aOy6Le7JZck88I4v+1pjC4zROP1uCnVb73dq+56tBXMvdzF1YHVy2ULDatCY7DQTP
Ta1qcDlQ34rRRXgOMlzmYqQEOU4qx8MaslxrJfO07Q6pJXHa1yd9Z0D/NUFjQrMrY/XjUAXbnCwa
tp00y+rmFLFPmDJQ9GzRksUY8GPbSIcmJD5A5mc2pD5VK2eJ1G0wp6H5nGw8yH+eg3g0ZMAmK7/J
kAMd+E4qZMHIaelDWhtX8c5NfJJmRZxfxtALrTRYxLm87ozqY1nbKG1zl4KOmND8k6EnOnaFqDh8
RXhFKrTu7ylWPTqERg1iYycIjjnkOLB/LsRHJ6qvS4iQVmMvcoiRKCyfYYt8bgORpFZ6lsK2qCBS
jl122kKs1PHo4VnO87BbYU17FrqYPUHEHDVjRWJ7BKxhDQ7+q2qEK67Op7lWf/MymJzi0XuWc6WX
WN8lytqG8okAbS2u/VA2fWJieFaa6gXuQvN6lD4ZkEZjLkUzJM4XeZQcVtBKEWSbOdBMKVYCFIg/
g2n4lMk+bjnSys2NEw16qgpNVQ7J8cxBOekgsLZ8iLkDpTWC2upCcaXwPy99+JFQX6WAdhpU2Kwi
AbKH8q60VJRH+4+lYM26XmtcAHpfB2YHo9bVTwdDTc7LGGFdGqIQbwM102DhtsyX0RfnMtDFTmFJ
NcJMWKAaC4FvzAE6DgAeZYCPeqLRTvYueoGI7LlstnFsLTTAknU4sPxAT+a5uwbaMawkzf06lvFp
J5CWdtJcRUAvNUkDAiHQmCg4Q5O8R2gKrKbkYxqSt1IKH085dXX9oy6QnbAm6lko0J5t6HwIgX9W
Oq5rAg+a0xYH92WFKzrFpzWgUaCVc4MkTAY8sWR18LRU4hzmyx8KOB3zFPCpKlCo/lDBV8Dvx8WZ
BJiqAlw1MYuzXOBXuyK5yQWiVR0lAPxgXEOBdqWWcmHE9mEmcLClQMSmAhvrCpSsRMElkyk/q74B
+hIoLeYFYGrpZVIX+FILtO0gcLdSMp41ghkKINcUyFzJBkiZo2XfBz6oxrD9aALjrTG9JKHY2FIT
r6Aj5/Q4ulMQ51zmBQo4EXhgRyCDVYER7gJ0n8NmOMkEftjUgvMIQHFrNnBq/f7KMw3WO94sKeDj
1o7OXYFGpqECoROAMl31FJwgmGVdoJfJy+Jj36DB/E/sv4/9BjfIX8f+qzt/uwvpJn7rR9xXQLqB
joUCQIy/1y36cSXWDiDzE3RpvlFwFVXQx1KrLh+QJxCLiceEeKwufsZ9qrBw/C0Zg1eLX6I/+Kq0
+rtSq6GAmXsZ9wVlX5RubUhzdMLIMJ7H/TSmwRzzMc5bx4+qRajhXmjIEJdT6aiJPahUOm6pUjsA
GW0O+25QaP1hP6K0zlFtROY8p5K88kLMH6QMIGZIKpoqQYzMdrIMm/zGU3vS1bGGRrPGS7GRFprU
/FlxWH8coK+vzdJ06QwMgM97i74Q3kG51ZanXOKbmeGpaJ9ayrcaL3rZbepN3qXk9CFWiiidR1jH
U6hU+gsL4ulFQXkJeHuHNkycoi1mm8ksdkR/r3EA0iD4CuY3Wdp9hH1iI22U0HKXofAgt5vgVknV
nvtuS3m5ZrOCTAAyAyAaIzsNqenITZVzVw2RV2tS/gwzuI0FFXyW8/ajcMAuLRkvbAfawSj8semg
FgtH66hvuuchFto9Vtp1yXFep+q2Rtj/2BR+21ndGohrhx8zoxIJ0HEryUBYTA0h84QMfxTbu8TC
G3MLzG/uXb1t6VOOzbeD3Xfuy/ahUYwfyi4aFuCWPgNtv8mwCC/AECB64B8hPvTBqN0rr8WrpaME
0KIfUGIzLmM3TiZDy67CgRwneQvMePYl7OIjOPjXfYhb+YBteS/8y5vaWQUYmhupc5cLh3NFB7AW
CtdzciJ8Z2LSK03YogdYEENkwCpdxTPdxjsddH4C05iScJwa/VISFuto3eOvVlWfzba6JuzOM13N
lhEOMmBxAigbeLVnGgILiQw8vLdNb1Hh6J7x6ONYbbV50Mr1Mh1xjzSh1M09vfmQV3gRyFaHtNHY
3ODM/qX1o9uEqvjK1ZTb3I0wIu59IdSgkhDaMBbJ3FZmr7lzjFs83h6CdCPTdZCx74MireBAlOva
oYQ78dqzcRTV7IyNkNnfB7jOelR90wSLy0F9YamEVbRozOp7l+Ymn3ZI5uz9fJ6nUbwKcI03fRde
XOngrxCwR9wec8k288eFqxRzUlxt1g3t2mtBn/l2f6617kY10g8gls7NyD6UgAg16iFsA7c7dRgT
q6/LvOhqerIWd3nzs+Uk51FacB3UwmHhhmj9odUuF8FdldZfcFeAV9dzZ87C3FlWllPOMwcuaR3S
cY3yU1Vt1pWUfKq85jAqvJMaONlGUREiVwEdxe1Gbzo6DjQgYMP350mskrXI8bVfBWeGmaczU+6s
w7CwTlQnOQvqfB1LGjyQalChm0RoUJg0fz1fQQLRU4LDJgxO1CY4AUB+HStU1WzC+8xU3E+6ZXxu
yupcTSIdkFzmLHoc0LEV07HDSmvsnj3EaCkgrT1yP8pdI4ixIfnYme5ntClSsFcQ77Gy5Ojh9wAG
ooxMgSQPo0N3LO+KVNOXYH0EK0jdyDQ/yRzQJHaY1nlb+59VV7uoO/CFWtAMS+CyOmYDpbmJCvk7
+tbHehCcBL4PvzKmuxynxUJOguvR1K5cl+eOIRcCAIjz05hQPhq2c41IJR0LLb1QJQzcwX1Rp27W
pJTDrEhtF/Hz9qKE7+Gm6lXrV1TzkSixYLAG4IpnrpVcxAUmHFYgHfld/Ckw6nQh1/2ROdjL1ouH
GYQvYx4W1PTMFJPqWMd6e5T90zHt6FBTiVlIZfzdG92rIqeaOCjU/rXAz9e9H96WOSCtTEHewe7G
Bf05ynimLh93njRuajtfWR0N5bEYLwZITEupRZgicrzLHvZko0obx82PsVdrV3peHgFsoYSm+B59
M3yGNACt89iETApL9UtCWR6dsi21pmDdqzjL2JCmKYR8Uo32ZMSxdJaqwVJv9VUZekukT46DvKT5
42J1xiKadyN3OjqH68FSbkYlPzU8zuxeCIfQfSiU8g4g1mnd05zrvaWFr9CsGtCt0pTrzE4XbkTT
rCdfpQ++sWp4bl690lsWgcx5pBEpLFyJFmCm43k/WFdQlk9H3biLag7KQDOzJciODZu7n9WYxpFf
4lVeOeelM3prVe9A1CHHZcfcYK2u9IEIY4gAxrXEW4M2y5it5cHbEjvLZRb4DSL58BRkTTPPbRua
kkQ9YF1W5ZcgUi6NtInn2eh8Uqz6OsSsaFZyLswqCoYzVBRQg++V1aja3+gE9uvSKQGdZt/KsKB1
b2e3Fe35mRPSkU99jUtTFBoLl+s7MQ9oNj/rcv+4dkBM0jsDbyBlaGo0t64Z5Zyixa2Gbk8YOjgW
Sy4w09Y9VXIworo3+Csn4yLo9VxX3RCdFHZZMXdtA41omV2WB+kM74FV1nibAX26pcU5KVG566T0
cshGfx1I4dfIwvOLmhn9XnS63WhNHsEzcNtLxcgVqGFgdUfJOsxrIeiRwuqjV2hBFBzxUJWU6hwa
4cIbku9I5GfcK4H14ARGwc47kbUAPFydf7elFKyQ7lx3QmBHKhJIJ6m5jXxc73K8BuWicS9KvFU5
zSvHPdVBfvsB6TIeVr59KNeRU5xlMSZp5qwMZPqRIaWQcSkrTuE/KM39w8A1yG1/nUf/iWJWswuz
IH7tKZFW7ANTE2AAsihksIQA6FMijeMnbG3EIwzdedSjeEykNf0AB2cVKofu3DNDniXS2oGq6KpJ
Ei20JwQ87+8k0q/TaEpwAtsGckIBSq6L8tozwkgvS15blmlzNg4RTYdG4AhmgZ08YFp+CY1AFuPt
G3Ez0HVFWGOpNF1evpECdK4wQz0/kxvD+YQpJolbYsXDuCHFp4Wh1WmjH1bs/EsIW/g1mQqKULbl
XedZiISkNzjHipXks5zyVf/BH7SP2pC12cIcPKs6bqOw0r62fWHaYIWKtgX9Q8m/xdQWiLoUo5cX
o28R5HmmLrMubkBwSR4ei0HlphxZg7MUZBl5UaU3Rqx3Z5aex+d6I+dYXeVAl1eZ22vzGOiGFAvD
UI7nTDuXW2Ek2sbheVlHHQU7TF1854OmyHcG7qNp4a1c3EgtCu1pp60NYVOqynwLmuJLB6CAkyyN
Pjl0B+STtIjaY4XRaTwU333b/4iUw5mCEWqjtZexcPHpIO9eWxFYNWEBcSpZeQnn0zCP4sABG5IA
sxtVdAElSfuuhxWgLRcdnLQuEFJuwScEsYS1aicEMJ2zKqWMwBnMaYgo0bpOrU+DIn3BcaVYYDME
kLCuPRX4BsoZLAsXP3VQLUtbF0PAx1Mis/xU6rXWL0w79T9W4MyWjUXTyunl/osONYdZxNMUT0XU
gnSpHBYhcMHCrFG3kFARe7b3HuE4f6QN6h1Yd1b//pfKJnt5JeR+qRoytwKdzcGyfrnEiqEsPA/F
kTNMurcEN+UStYwZIDEwxSl1P7wpvCVWn8tyier3kb7SlhQ65n8pbihKzj9L0kBgcQqxkGc0DSHS
qtivJBSNHokHVKOyM1f1jobY7+cRPo3gwXWM6qzIWRatK1Q1TAis+K+felbpHik8IzMqkvlgoV/v
ytRF1fFr3WfOqlKhf9d1vnLt8atl4GAXukA2qPJ8poZpwVYthrlVUQIiO1DpzpKvGX6/HDRnjXzU
PHTReNIR/h0NZzNq3PVUdY2JHVpl2FLPAgeSUJJusEdfZBooUOTsll3nnaggDuFeAPdsYTEkSQhD
vS3OOjKWdeEJGobmffLoGitactr0tixEx9ZyxEKznAKjNTm8/P0jfnmI3IOLHROZYc5LmhGa8+oQ
cUa1c/LELc/kFk1YDgLkAko5nUuBvzQyQEF68Ve2frt12p+956unKfWtVbaRV50VnnZtuCVIIZqk
Y2Vt9KRB4oLapGfSMLdA2BgxBVhDT4eTEaNLdAaMkyywv8hBRd+9kr67kb5CW/ZUzcwL2R1vDK/4
mnQ4qRVpkT+A7f+JyQIP/uuYfI3aw9uOlvidp4As4O1UoWyEJhQ4mYb2MyCj403NSxZMUZYZ//mj
sqXZiHWjmIQFkM3p/YrDqSlIR0K4dChGwQ39OwGZ4tWL4wN4O1drUydv5hwBM++8qmwheBOmsRpi
Vlu78H1sGuFueVWriT8P1aFejEqaXQU0r87VOkkuq8bF8lpW4DGNLjLMkINp+rv1rNC1M+EMvqxj
+ByDFUIjN1vgWrJ57BftN6fp8qtsALQQFXH/wfG8fA7R0Jo7jZtd6VV7WsoNIOPUWbSBn53TcQfh
1qXeR0CB9PHxwlx6rassKkX5lKDytInhMq1DTgfaRofaYF95RYOovh6ivMsRch4HfTJHluurJJvd
xunsP7GmDz4VOs0QXx3SVT06aDxEBFGFKTjHNMJd9XLtbCA1CS4O9gRYx9IWFg1iDOydDY6NeNjR
Pc7QpJnpeUgVr0lOGupPEZ3mTrSca3rPjmhCG3Sj5UZfRpYnL1X61BH9au5pfzKbp5loZMuipZ2J
5nYa+V8Nut296dDko//tFdHn0kjjJSJ96DvRI69FsxxmEyC2FB0B0/M2kWipSyYtfNFk71PzyEQ9
ifsWZT1HdOJr0ZP33U6GpjNe86DDuWPml5nknuk08m2wl5rL5V6nxe/S6pdEzz8S3f+yxiytABCg
gUrhrjGeGRmPtM77BS0eiijaN9phNJaiG8nFKzXz/aMIuIEpcAdcuWrkScAiSJ16iAIZDmYNWLgO
wAJMDxAgiaA0wbgUmIZMoBsMYA65N17owB4ojPiYIIKEQN4BDT6BjjDtIrLPtQEQyzfB+BkOrZrC
JsKEx8AKRyoJSuktYoM7pW8ZdxIcSyT1wG1KA3QxYgRWjgbFgvgI+fByZqGnOFMT5USzaFfEbQsl
SlaI2IYdrAcjWtoF/Spw8urH0jBaegYlEg1ehL5HruMqGgyoQCLYkYXOSpahX9ENZpJJ7w6xNsJx
xICo2LHB53idbjQv/xinKRosgX7Y28gW0hGTr1LfBcqnI4iWpT0aWxjwoqeTLFS3m4+6nM60wb0b
BnUTSLZxGBnGVVm7FAvTeo602tyynDOAMPFhpxswGjtAJlZsHkp2qZ9b9UAFFiXMea4EJpwv/bKN
BJ6oNk5opNA6gWcwlyXjqIyb4EgZsuNCj5XDIgt4SjXeXtqXSnHPpc5bdbAEVnoXrGvU8GGMJSVS
Zlx9ud4u7CL+5sfGys5ytjrbJM+tnolNvuZ+ddRbXX4YSZa9gA+mnPvwlxduI/kfuRuCkNSpMDS2
e9YWUgZSA3TQ4CCdmAqAFykCdPD+YlDAa6DDhkH8MOJjrqruRi5qfWlXmb4ePNdZyLiPHuZFegzw
Futzr9GOKtMbj4pQkdZ6hi9vBszMlLj2j9FwhIzXl1xKtA9qiHsop190KAW6M/eRIZG0DnlUD9ut
ML8urND7XqVolvhs4wsrDO+wEKxVHCo1aoP3YeP/g/j5+BF36jr/aJKIn95nwlfZ8rUy9H/0l54u
jbsH+ntC0WTaLyLy/Qe7l6r+7TjxtsYa6RYpak074AaMfoLATIoXI8ZZ6j3+mMuAdUBWLavoVz1/
jLs//Ft97F/N1DtOgkweMXES7ANwpirXfrpk4kXkfzEJqnwA9Q6HDZ2cgfd6tlD+uy/4n0zUb58g
BZCgHg5v//0v5QFzNHkSaCGihkHTkXrJ7kmAgmjjtmULdun//SQ8zzUNw3lYnQ91kR+L8y92Ak/5
50awDkgzTdNRnIev/2YjOAc4zFCtIX29f+3DJLBQX68Egz+buB3MAw31d5Vc/ZdTAV8c4JdI4f/v
V8KOSdDfYxKoaoBXU8yHx02x4eWZgKYtXXAmaS+2w45JEGj1iSsBOCFXNchb1i8nAVAhkjwK07OX
K0HgFyZOgg7BTVU16mu7J4FCM0qOYCthWYvXQ1DetxiBY/1/c0ayrl4ckpTLba7O2sNUMLmvN4UK
LtUSuNO9XA6iNjltORAnqXHCWwSVef/aMQcOfmTU2/dzIVCDmX460kCBtcPXFMuK15vTkVoP4RRh
772dhNdIrb+fO9NgcuC2wnvdPQm0mShIWxCHHrpZ+3YkUPKanDZqmOnZKu0y/RfJArmzZqPwbosC
716eCY8H9t/LHV+ei5jmiMolfbbXByKnBdAHGMkP07O3u+FhhU6ZAwdFY65IbIeHrFHM0PObJDVe
GX0tCAgPecn+7QZl+iSQOnOLhKD+mCsQcl9MAkcCjA6o7495yf5NgvyQzk5YCbpyYIlOoCpSR/F6
EyF1loqukSXsa5oguujT0gT6Flg9QOx/zJRE8vViJXAuklTDnbn3cdzXrNG4V/mZOBXqARgHywAv
/GoOKC4pVBzo7Dxul32NENMzZxIm+lsKRgWv5oBjESqzgnTF3m6Gh7vdhBNBM8mZFdryymPt5PVm
EJmSDciPksKeLgHh2TJxG+AtrMMoM0wM9sTrTYBESQVwP5fth/fav9gg+PkTJ8E8gNN4D6F6mASS
wpfHonIAbZE65N5eIR+X6JTt4BwQ/qgWkBbev96sBBXnRkNBO2dfa0vCS2LaShD3aBssGYi610tA
JyrQ2KfO8JA/7OmRoEyuJWhERqKiwWLYvRsU4wDzEM5NLhfita/XB+Uhdk3ZE2gVylhwgf54eOhv
QoRo0jgmdP59PR2V6Zdpg2bbfVXlsR3H835xOhInRUFW4ZKxp5tC8MSnHQxUFDDAoWX/lBS+uT7g
nYMeDADdvd0O0+9QEPqoKwFrejgYRJPzxUoQLUmhbA9HcE9XglDbn7gS7INHsYLHluSbSbi/WZg6
62VPJ+GxLzLtYKQ3ze3AeqyrvD4TWAmySRPm3r+JCd+/tFFoV0xcCVQZhb4f19GH6EAMeLkdsJHU
QPxaohK9l5OgTs6YHg5G1oH9eCi8XglEB+SyLCgF8l4nTo89gSmbwjng/KeyZD0mTq+nQoWsAXZY
w958T9fDYxV0wiSIOhuim+AxnmpMbzcFUs34jpoPmcn+nQyPBcAJk8CmAALsmEhg/+JkIJIiI0dz
Vt/rFFowgCYekmwKCE/gmB6rLG8OSe7WsDNo1ezrtVKbnkILzXO+JBHzYT28vkeAQkcjVubmua+T
IMqkE1eCxr2S0rJt/qozaTFL9KQQT9zT4/ERZDblZACWAckOdclfXK6pvFJhoIdt72vl9bFlOmES
iBE0Zh06To9ohTfFFmB/kLd07pT7uhKmd+VYCTThf4SINw0pEidulLZD3rSnk/CGD/v30Qo03Wz6
r/KvsFxiEhwKUaaQctvLFFoI3kw8GGnDmDJ4BPshGdh1reaHMkvl4ba1t8fj9Ms1j9tUEWeHdXX/
enO5ph2h0Kzf32xBnZ4y4RCIbx+h8hG9smsSEORS0Ot6eO3p1tAmV5xIpOG/YV/IOfj0VV9fsVFB
5r7xWOLbv9uEkP2ffD44iG3StX9ModlmLydBPqDmRjwV5jd7eUi+USD725GCzgz9BhPQ6y+6tSJx
0sBGo/i411cqbXpXwoYUAcgPhdOHPfFmPYj8SvxD1V689jVeaNNDJ1050gewGo9Ny9dHJWAOcIAy
x+me7gxtesykDEkRUhdy8Pev13PA5VJ1QH85zn6nD8IkbOJJaZBOqiYJAkFDvN5U4GhQ0MUCAbyv
6+GxADDhdgXIS9RTbIFn2D0JYB6RmIHXvq/FBn16zNTh7pMxk0btThy4WJiOTcAA+3n/2tPz4bGd
OGU9UIwECAys41fFSOVA8KZIqvc2fZgO8QEWj22GKKy8Tp4oWCO3pYDu2NMlYExPo0VnQgGxQTHh
/vUG2wMzAlyPDcTpP5+E/yDX/sE9nvtBfHtPTUaj8Z4B+cA2/cu/8MTJfTvAM5LhPdXyxd+8GvK7
h7EfqIji//9ne4vB4iKo6jK4qdX7nuSznz71KO/f6fH3H7/i2zd/8WZP3+vpDzeYl23LG3+4/8Hw
+EHPtgnc5v+N+dft9jVFUpREn/5MvPe///Xywz6LjL8fHUm6u6eBfjJxZQ7Un1/1vx082d5m5dNA
zwZn40wefIZ++a4PzkqdPPZ8G29bHkn1NNazz856nz5+FjfVm0dKskV++w6Dp3W5/WOeVfWut+A4
m/wWi7v4j7Os3Dn/nD2Tx1/GfyyyksXzNNaz+Sf9nTz+qkT3ddfgJJSTB1/Hd2n6NM6zD/4e23XT
JN+y+LZ+O7yAMk7+6IdJflcG2/hpqJ+fXqAEpw+fDjsmXaDuJg99fFfumHPRDZg+dJB6Ow4CQbOZ
PPbJNtpxhgls7jsMXVV3u+bkPTboSVb98b+pdxff7ZqZ99iip9tbDuCneXi2EN9ji55uy2DX1LzH
FhVj59mu011gZyY/1tO79Da7CXadXgKQ8g7jlzd3t08D/Zx3gXGYPnjGZ38a59nY77FNT7Odc/Ie
u5Sh8QC8G3Z88vfYqWfbfMdCF63jyRN+dtdu3+aOBr4L7zD4ebnlCHga6NnjfI8t+iHe3uzyXRR1
mMnT8iFukl3JnSi9Tx78Y0DqWAW3O2ZGGFpMHv9ye1NyJUjrHbFU1Irf4Q3SP2Z3abDzDd5jq15u
xRuU6ba83XmQiTLvu3yLRXDn7Zql99i14kus2AE3QXWz6z3eY/uK9zjKtkWzK1qJQvC7zNJJE1R/
nH8LqnzX93iPzSy+x+m2vts1/nvsZ8avt3/MtuW37a6cQVQH32OmeI95vPsd3mdji28xL5vx6eP+
PFOFFND0r+Bvd94J9XfZ1L8zYL/X+ZpQprgMqigYsuZpEp5NzLvs5Sze7soeRL17+qyTmOyySxLM
gumD/5UP4+SZF2WW8umTPpv399i3v3WSmvrJr8jxUZd7+9GFes7kib9qOAl2hHjBf36HwSkQJbvq
ckLqZPLwvzcemDrvv5FQnjx0821HpizK3X8xJ7vKsj84Jm+LtU/Chrt+7WUtWvyNm/huW/7P/wMA
AP//</cx:binary>
              </cx:geoCache>
            </cx:geography>
          </cx:layoutPr>
          <cx:valueColors>
            <cx:minColor>
              <a:schemeClr val="accent4">
                <a:lumMod val="60000"/>
                <a:lumOff val="40000"/>
              </a:schemeClr>
            </cx:minColor>
            <cx:maxColor>
              <a:schemeClr val="accent5">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FB1B-4CDE-B06B-27E83C34D26F}">
          <cx:tx>
            <cx:txData>
              <cx:f>_xlchart.v5.6</cx:f>
              <cx:v>Sum of Amount</cx:v>
            </cx:txData>
          </cx:tx>
          <cx:spPr>
            <a:ln>
              <a:solidFill>
                <a:schemeClr val="tx1">
                  <a:lumMod val="65000"/>
                  <a:lumOff val="35000"/>
                </a:schemeClr>
              </a:solidFill>
            </a:ln>
          </cx:spPr>
          <cx:dataId val="0"/>
          <cx:layoutPr>
            <cx:geography cultureLanguage="en-US" cultureRegion="US" attribution="Powered by Bing">
              <cx:geoCache provider="{E9337A44-BEBE-4D9F-B70C-5C5E7DAFC167}">
                <cx:binary>7H1pc9u4svZfSeXzSw8WggBOnTlVQ2qxvCd2kkm+sBRbIcGdBPdff5u2k7EoeQ5dNfpw9V5llnKo
hpt8iEb3043Gv+/bf91Hm3Xxro2jRP/rvv39vV+W2b9++03f+5t4rU9idV+kOv1Rntyn8W/pjx/q
fvPbQ7FuVOL9RhA2f7v310W5ad//598wmrdJL9L7danS5EO1KbqPG11Fpf6ba3svvVs/xCqZKV0W
6r7Ev7931pH6kRaJWr/fvkZ+f/9HtI43D+t3TlolZff+3SYpVdndddnm9/db45D3734b/7od1d5F
oH1ZPYAw5ScCmYIIi8rHD3//LkoT7/mygQk5IZyY3IKRn37rFajyJo0e9Vk/PBQbreHOHv+/O8DW
bcDT+OO/P4X74WkMAHiAxe/vPyWq3Dy8uy3X5Ua/f6d0+vi4is5Jh1v9dPv4bH7bhvA//x79BTyt
0d+8QHn8aP/bpW0g/wvIt+vknb0pknXxoJL0AFibJxgJigWl6PFDR1hjfkKkiSSX21i/XbH9kL8y
zgTkX5E8shfASeF1Hia5Lg8x1cUJwkJKSvnTVBcj+GGqY2oKxjFceTnX36rXfvT3jjIB+71yR4b8
H1Gmks0Bprw4sSRlFmbmfsyxPOHwYYyb25hP12g/2iP5CTiPJI4N4Xj9kBYHQZjC6oyIAAC3V24E
0BIiKZKP1h6PAJ6s0CsAb8tPAXhb4sgAdtKo0ocw2/KEIEkozOGnVRscsW2cyQmCZd2SJttGeLpG
+xEeyU9AeCRxZAjbVVkewkbLE4YJNdFrNprgE8ZMC2MymsKTFdqP77b4BHi3BY4MXQi/1vWmWOuD
2GgsLYIJ569MYXRiiWGSm9ZoCr9Fqf0o797XBKR3hY4M7ctN8pDeHybMkid48LY4x09ow6zdNtgU
LDq3KJUQbL/0s9+k1H60d4eYgPau0JGhPdtE765SoHD++blt4hPOTHC0htBq+OwQKCagbVIgUEYM
ypuU2o/27hAT0N4VOjK0r9bZIfwwAeQIMGGwCj9N6zF7MjBlAugTJkZAT9VnP8Zb0hPg3fr+kSE7
j97N0gICqX9+HlNxwom0GHnmQSVwYNtWG8IpKTHwI9Yj/iNf7E2q7Ud6d4gJcO8KHRnmC6CND8KG
WiecYosxjJ8M9xjwgRoRDP7gUVw1XaP9OI/kJ4A8kjgyhC/Tg+AL9hpoLWE9r8s7CzPgS4gQkqMR
3T1Vn/3obklPwHbr+0eG7DLaJMkBbDVEzAQxLAmES9tGGihsKTCnbLQGT9ZkP6jb4hNQ3RY4Mlgv
U4id/nlYwZU2JZJMYuvJIu+gi06YSYAmweB7bQVOUxXaj+72/UxAd1vgyNA9reLvafRQHgBgcKGE
hU1zd95CatLCFEEi+gn6bXzfotJ+iHdGmIDyjsyRAX0Tre83h0lJwKo6uMpPiQe0EynhE8RNihH5
5Xm9nM3T9dqP9Uh+AtIjiSPDeRVnm0Kto39+QlMCMRERbMDy8TNGGrMTBi42w5ChGj6joOktmu3H
emeECWjvyBwb3kl3iADZgkohAn4Xf04l78RLAnwvaVlCjMoHVhP1eQXhl9JT0H35/SND9m7jr+MD
cFsmOoEZaiFGXomFB26LmhiSUGTfPJ6u136MR/ITUB5JHBnO51AFdgBrzU4of8wzPhnjwRpvRU8Q
EQ8VQpiSUWJiqj770d2SnoDt1vePDVmoKT1EhtE6AdCAnTbZL5dqDK0F14C8HkM7VaFXsN0SnwLu
lsCRoXuxDg+QYqIwLcHDAp7quW5zTwWIxAxbgo/Sx1P12Y/tlvQEaLe+f3TIar05gE2GldeE4jwh
n9ZVtBsrQWkAXDaFNZq4F+upGr2G7pb8JHy3JI4M4VtgoQ/hW0FiyaTSgtThc/HHOEYC34pjZpnm
UMH3Mg6ertF+hEfyExAeSRwbwusE6qrtdfF9/VhlXf3DWynME5MgmKfyFSca3CtLCnCjoVbv8TOC
+63qvYL63mGmgL9X8MjegYtUv/sj8TbR5hBemHkCIRSh4qcXNq6wx5CTMinU68JivocOeaNy+/Hf
N8gE9PeJHRn2l+sHqO87QFxlnUB1H6Sc+HOF7jiuIugEWbCzwsTjTONkjfZjPbqjCTCPJI4M4Y8K
Kji1ejiEE05PpECM0ufYeTd45hBdcwQB1gjkNym1H+fdISZAvSt0ZGhfrgt1AJcctkRKbjKYzM+l
QGMrDg4bg110sNCPiM7JCu1HeVt8AsLbAkeG7rDl7xJ2ch6CyuYnYIw5h51RT47YTs0m0J1EQBWv
OUpYvEmp/SjvDjEB6V2hI0N7eJWz9CD7Zx7BhrVZPIfY49UZ3HJpmVxAfLbPLX+LZvsR3xlhAuA7
MkeG9/BCn6XrvDqUBQf7bRKIxx4/OyE3hlpeIEulfPLY9szyNyi3H/V9dzgB+H1iR4b95aa4h336
zgF6GVBkSetXyd/Owg1km8ASoi9zX/g1Xa/9iI/kJ4A9kjgynG/X9wX0ikjKQyzh4oRx2Npswrap
x8/OEj4Ukw1/IOE1fHam+Ft024/3nvubgPkeqSPDHSpay02x6Q4ww60Ti1ucU/Qal4pPLKBSLTpu
V/IWnfajvTPCBKx3ZI4M6atNvT5IVxoozbYIFxQ9Myp7FnCEYcOzKUcZr+ka7Ud5JD8B45HEkSF8
V0Xr4hB0CiSsKRqqSZ5rBPd45URCKRFmgP3LrMh0jfYjPJKfgPBI4sgQhnZJidLRujoEIc4heYmg
Gt96LXMNlaBooMT5iEp5m1b7kd4zxgS090gdGeLXxRoyIAdYnSlUg0LVr7BeazYDzcYYtCOxxt7Y
dI32Iz2Sn4DySOLIEL5Vm+IgmQ7YeGMhClX6T071vmoFuAhJULE/sJ6s136cR/c1AeeRxJHhfBNV
0MDwADMZKDFqcdgM+5zK3omu0AmUpMBWHTraGzldo/0Ij+QnIDySODKEBzrI3kBjw0PE0FDRzcjQ
e+aVokFoPGMigmDHzsjLfptW+5HeM8YEtPdIHSHiM7XxDgH4Y6URZ7BlY1z5y2H/FRXQGvL5Vdj2
uYenPlmn1+HeHmIi2ttCRwj2Atyxe6Xv05/P/J9p68oFQhwCqCd6bLxZA3KYQI5jJugoWz1A/Uuj
KSvL63DvDjMR8l3BI4T9olL63fV3pbNDzHQGvUiIBRQJvAXP9OdWPTiUpMB+DwQ9xfbg/0bVXn8D
9g008R3YJ3p8b8HQ5xUIFvjvIZIhUGgGJePPFmBs8mFxH+gV4NBGLhxYgLeo9Sr6O4NMQ35H7DhR
L6r+AKBDJRqHbVro5w76HdChVyT0vADWbdejGx78RK3+FvOXY0yH/KXUsSHur/XwcP/pKQ57B6Bt
L7ht9LW2guQEfDokYCX46Vs8NW+/nazRK0hvy09BeVvi2BBWOlRdWh0AY2gvR8FNIz/78+9x5Czg
VxkUmI4wfoNOr6A8HmEKzmOZY0M6jdYH61YE3OmQ29zvsIHlNiXQajux+GSNXkF5W34KxtsSx4bw
0OX3EF0xoC0oJQS6wD5zajtrM+SugY2BqqSxtZ6s0SsIb8tPQXhb4sgQvoOyYTg95QDGGvrbwDZc
KD173uCzQ5sSoE2hcRU089421m9QaT/G4wEmgDwWOTaUK2jIHh/kUAUoEBdwUArM1FdsNQK/i2As
yGhNvnuDTq/gPB5hCtBjmSND+jOUB1QHiaGhdS8ksyh67cSUoYWghN43FgJj/rJI4Q0q7cd5PMAE
mMciR4by1zQ6BFEGB6Rw6GgDVnlEiQM/Ahc4hr5k29hOVWQ/sFvSE1Dd+v6xQVp9P0BYDO0SMOyp
h/aQr4XFcJ4CtEoQEDqPkJ2ozyvIvpSeguzL7/8vQPbvVdy64eGgsz9+Pts96Yy3H1IHXR8tCzZW
719wh53VGDbYA+77tnDAaQa/TtZ7stL7dNqP6kvZrXt8usW/fyiHOYLu9ePpfp30N1uX6/njGYEv
Tqj7+6uPtw9nG45En5e1PQ/sV4fV1cPv76H/G4UNc2BEfx0/OAy0tSj+yiL+fDO2BTfAkv3+3gCD
e4IG1mpo8QoZLAy/p9k8X+InTDIhqWASTiwc0pgJtPX34RxDesLg69ADZ9jFYyEJvRR0Wj1eIrBd
D0rMpESwy4dBq4Vf5zjepFHnpcmvB/P887ukim9SlZQabozCSNnT9wZ9QSUYDPZ4Q80aOICwkXu4
fr/+OPS1ga//PxUEvvajkl7CFsHYd1iYl17pVBYLz2IVNxlxcN3zorZNlJF25iddf1ul7szzE++C
VgFfh37i0DJ3PJR/C3iE8U2DdebZQd1lua3rRF7HadmfebSK1CovO3IHYYfBVlijwrClNMrr2KXu
WdhZqJyTMAzwreIyMs97r4/0vUw8q7ksaFawD1kcLWsriTZunatZmqgqcipTVMESBQIvZC5U/bHM
u3JlRkQbdt/7YT93UVd9601ehTbPfXROKumeF3keSCdJGn/utzJ3irwo5xXq1DkrO/PCdfussgPp
Sig2THxpm7nb9EugMHsnTPzqxids3XXJNx5694FlxnNYmGMns9gmK+ONJVNc2nWcmw9NqRyBEofk
XrNKesQWZWhU3xrLs+yaIKWcJqywI2QT2HDSpfiCDZXNZNi4962y6lNNE7LyDde/MEISn4a44Fc8
r9pVn2X50mR16hR1X9pxmLQOE5lvt8BP27J2LwHcbGaVwtGNdmeijM9FJVOHuQW/7BjrV6EZ+bYi
MrJN6S+5ymO78Eho004EcLJfldg8CWeZkBth+sZS1P1phOU1DZS17NymtA0dh7bnFqatzfZP0zfd
Wdj0tc0ttkyxbOEUntYp/aK5CmlbOsj3W0dGrJ0VEHjOAyMj18gLw1ujYfRjYlnJJkBmcRbnKvkS
1GbhKJU/JF0dnL88D3NrKtynWVcoz38+1fTXj/+5S2P45/GAzL/+cjgU9a+flpt0IJn1+EuD1fr1
rb8O2RysxK8TN0e25+lk1VcM099efJPVGizM61Zr6F64a7AGmV8Gi0GVK2xGAXsggL4zIer/ZbDg
VAFYs8BcQAyBH63ST4MF2xKhTpLAdgYKtkmYLwwWG9rkwoZFEzahDvaKvMlgWWhksMAaQhoQdIBg
hlJGQb+XBov6UYa9mpdXcWj5izSN1KxNY1P0HzpS93VmK+m7vTU3/Rr5yTysw2bOcEnwPKWkSxrH
7BSNzsFQ5N110MABkswWVcMKZuPWyis7ZpFPl5gncYRt04yU/gCTL6jJzHBlmnzrC6syb3hVySKZ
cZTV5nnLWKNbBxt5oNe8L4u+t0vL5Ro5bVvUUtu49otloDN56efIX3ltYdl505if8jRzQqEiO6/S
kNlmGMQznDf1OTD03YIIlVzxKKw+YitsvqOEsWxVB773HaZGu4g0ii+UFabzyEzdq8Bg5qI2Av/U
MjFMS9HQ7gN4Gu5KV2lzGSa8ucJBXc4KN/uRNkKDpSCkWAultBOVJqkc32Vga1hQ3pEmj2G6Juxe
9JFc1n7UXHilZ7tpr5aRYdKPokfRvKVebkcVas2ZwLq1WVkaK2g70F0VqAgWYRXohZnhLLO1jnFj
U0y/A0zlae6iPrBxJvFMSp98o33W3/h9HyR2SCryPTQ1O69y7a26MNB/UqbpDM73JTdJJr1ZL+Lq
uqrCe3ikySqXFr7FWqHICeB0uUuzUdJmPPWvujj0Zl7H1BVTWi+ljIp50Etx1eeKncZ5EjiyiwvH
p153b1ptdMEaV3+u4rRaaBkkjjYUuaQUR71t+TpcdNLN4EXJrQ84TI2Fypm+oYpms7JC6TmUn9Xn
Wodnbhf3804YYpGzrv3RmH50KrLYO2tTZYJuATculWshWGR1BCf/dlFkl2VlXeSdSJaZV+Gl2cBb
1LKibO2eSPcsKgzrcyWNLynyyQUxRHYN6rsLI4zNS50Sc1EWBbruer89i0QTrDyV1PPUKINLU2fd
R78QzazWTT7vVNXOvbp3FzrX2pv9n2V99AeHoPp1y+q8OO5218IOsj8t7HAC3tA3iUqMgUQXEJH/
tLBDIRNEe7CjE1rPcuiz9ZdLCP1oETDuElry8EdX8i+XkEPLLcGgEM4ayFgOfVl+rjJb6yC4w3tc
QoLA+G+5hIxLcFRhY6mA7aewmRz0e2lhZcx7mdSsvo5qRXwXHKMUnUUtNs+SPg0CJ7DiT13gEZu3
xoVICJ0FLK7tJrDAPTSQjcvgrvXK81C0tzVqLzoXB3bmW9KuGtHbverPpCo/N3F3xWO6YsqyaeSm
di70dda2Z1ZWWU4b5yvVR40da203ridtl8t2WVD6gwrwUBudJzZSYedkipJ5ERq53QtzUQWBcMwI
VbbU/tfOcn1bR2Y3l2UXz1CR3ZlWVdlmZRDwdT2HZj1yOvBjTC+vnSJxv0RgkEpidU6h9Yyp5rsF
XmPg5vEM+kLf5wFXTm2pP6281TZs71vRVjhVrrhtpORPyzOXgme94zZ04Qtwb6mOT4lVs1mdilPd
xvGsM+vCVnX7vUvd73HZXqPUz20Wll8VksqJzXAZhu1K+F6ywG1TzIraSG3hZQ8eMtmsxcmfWcoC
m/o1nblVubFc0l/psFurjLnnFVPcKRiJbd+z5kYi8EeieTGDBcJ3FBz+Zae6lcumCc8xy+uvQtYF
tSsITBZpUDvgJau56fJ0EXUUOeCp9XPh+8j2ZJ/aFUn0ZYdEOwvjuliIFBxVNzI6p4S32S506M8N
lRbzDil3niCtzhVKoyW4tuUtYXX/GVxDf5aiyLVDHaHLzor5om/C8Gta1ORMcW79Wes4/qgLnN/4
FlErgYv2IpcundVdlJ4RKy8q2zDN4MJtksydG2l7URV9ROw+Ru73VihDzBpm5KuEoA9hKvHc95vs
E+rgwS9dyE1/MwLp/TBFVM1jSYjdlF01D4VwuphAwBKA2w/uNLw3hTrHmlyWXQ9PvZnnjXehk/wr
0lo6Rl5dFX7SnLpu2S44qsHTpalccOZDrNRmV2ZJykUeIyfgEFfkWJ67ruXZYaSIndCezqxaJrPe
DPEsxULNeNyhRVpRP5sTdctpki0xLO2XKewrOw8rr/4sYyFWFuQJbN9A7tIQSQ/LU/GjJa5xGmfB
rBWdOvs/Y/4U3IOH+roxH4L7vw6v3zXnQxj905xjOO2BQrJ7yGfTx4D8lzmHI+ihyzjsIII24xx2
+QJD99NhZnBFAhPP4JV+stm/Inx6IjiUucA51tBmC+Kkt0X4w7GqW+Z8OIkCaio4lMYDpQDbFEfm
vGUGOFnUvzJCQWasjsu56Du6suou/wZzv4vtMgfXwbY6g3PHC3sW226T6wCsfBjMZW/V6CopiDlL
8sxrEZg9VH9oG5F26wpIrMKfeW3eV8RuozogmZ1TIWg7o1bv5nbIcd6voIar8PSyzIzIvxVl2dgF
K93ATgyOLBvi/OAuTqP6k1l6AXGiEHW3PhaxsgkQFIssi+Z9Wkb6tPNVZkes4p8TXBuV3QVl/TmL
pWhtyrK+c8ykx5FjwOrghDQTNzSss680zoOvBsvYKXAg4MPiOnKvOcKesCMRqMte56JyYrePPUco
y3VkSlaJh2InpkF1iQweX3ErqT/GxPLnRRUS01E8qU8rw2VOFeXiG0nitndkKdPerovKam0uFONO
gCP+0cAi7Z2+jNVpVPD+PiYGnfme2enE6VDOCrKoJAsy1zZpFaYrUdNyyQoARM9Ua9RfS1VgDLGM
W8/NAFcQ1wRPUU7/FPN0De17eSo9AV/rssJbclT2H3RRB9+oTPQHyTVfBBHU2NqRNv07YHauJNVZ
c5Ma8DRvEsOr0dzTKI0dz02rfOUTXLnXQpHgaxhpctfKKqo8G1bDwG4SpKJTRJMSlj2RucEqx0XQ
nsVcmc3GaoS3kXBe6LIqqbuIlJ/mEJURsKiG7uzYKPgMQh79p09xVlznhiEdC/iL/x8t10vTAx4e
+IOvG62X5O4TMfxI8T1KbRkr6OiI4ABPBsfBwYC/fE/o+DnsUAdrBY4fzNtfxsqEah08nD2GBkYa
zgYFpvIlHQktIqE+H+Y0h3brb/E98dhWMQjUCLR+BhoBUeh4A17zS9ez7Gma5VXVXiUNlfO6cf3M
TmnAQyfkTf3BMlh3FrR1Es4RAoepTM36EwSKLSzbMsm/vHh6ezzhoZn4luUEbcARH1hYE5ngGIws
p5l0WSj9qr4ieYKvwDAmrl3x1PKdti5TadeNWX3ldWYou4gFUKB5UIQQIfeam0Dn8eRBliW6hjH8
akaiCH/qmSHwsrOYu8GdgdvF32tMYBna0RicTmjADAsLnD80kCcv2FxTcR+w7cor2jLPm1ltH32q
YeGii5J3KbPrrsXBTHFX2D23OmV3IaJLcOU6DG5mWj74rdbYUUbGZrpUaW2XsY+AzSvAWZ57aeDf
hJU8i7X0NXAfSH7Wfn4eRg1r50ob1qUq/Dpe/v1d7cIAx+sgOJoFTp2FfT2PN/3ipnhneI2RRfoq
KV35OQUbR4AnIfBqZEnV3jRtIW8zF0d//v2vHd61LWYcw5nHQIHBQdbQO4+MiSaGWs/MtJdcJaLH
Vzj0q6tEAx8pXP/z3/8mmD47v0nC1jQOfbEh7hoCwpeoZYnZ9Xnhp1ciQ+Y6b9IiWrql6IgdZv4c
5VXUOxR1InUCypr4v700Y0YN7hKCQAYb1yErhaHGdvvXQxGfglgjVkAqh2wdBxVbh9GgA+tjPbeK
NLU7BNAvmyhviJ2HKd+UkdSrRgJP3lq0QA5tgjQEVzeJP9Eig5DQF123yYw6myGjj7nDZGoWpwx8
gurJ0APBuj9gHQ6wHD0+yH+C2YBGxAT64Jlg014+PmRVDHgx17iEBSteq6LUsMIbYZmYQGN3iXfW
+Cr87gmZXbR97i+s1GyVQ3DNf5S871On8z3umBD9bFRB+UPNMp8/+dGvKmmyHZAfEy1ArA7HrsLs
BF/wpZZWIRQqfEi0BGaeuVLMSun3y7ZsqVyUdVU5RZujD3XcMfDvfR9iOJwsNSmyZWRCFiaM8vhj
FrEYHIuo8b40QZyuOl2Wdsby7JOlQzFz88R1KgjRla1KGjS2G+jkqskMDYtsT+eeh2VgG72bxA6p
/fiUWWX0kQTejdcltAUaj+dXpZvflSQGB8WqCTxI1RGwDWYFZBRqRHAR+Ux8dVFlnvmWwBe919bS
aZBvxg7MLrUyRAEeZdOJfoYhDJv1QXuf6by8rcCN8u0mLvnC1Xm1Ml1C7nIfN+HS5QZWNqRq3O/A
/UKySSW58a2KeTzLMk1WYZpkK5zL6EHVmQXznsbhrZJuy+06N72zwi0qp4PnsMQmkdd5E7dzsyny
BcYtrucR49hz6sYTuVMDozGPNS1mVSavfdfw0AzjtDyFpYY0ToICyxYlj/5sY+Sfk0Jmt4yWbFnJ
wCALbcX9WlgQ4WrUBv2iDoW3MNoWrYmOmh/ayzLm9KQE+iHxSO0t2jJIYXI0zbzz6kosCojCZ5Bu
i08T+KoNC1CRwoOOa24HOggMh7sNt3kKYbdtlpELmTUjiZeFFc49s+rQhwZCkZnSBYrsAN6kckHL
RuplS3l7YYV9H7kfqiYv49juVNQlxYPv+oT0X3VjtDz2bVmAKU/vSRcHJS0gO1NVGboqwzIOW6Bl
8n5Zy6p0V3GhwNMOSJTeIm7QVdBRWgHRISF073IEiZ3eh3h0lkBU6ztlFAKvCBS1h5wiKrF7DTS3
xdPTsOONP+vaSJYXli4pvFGNm2LdOBWshQvL8AP3uoapY3lOLjIBLxwNdbxIIlWAq5rD4uXO21pZ
DpDvWDK7c1FiQmbKjWPHl1XjLpqIR/Fcu+AVLFjixb0jegYWMyGhCU69XxiRXevO0zdaGXE8Tz0l
fhhVzRWaoZSUSwX5Q3HFDNdzzxLKS84CJ2l13nenGgrVC3+eeT6P566u+3whC52oRRdZcXcKTECc
OYx0kXJ4y7poWahcGQ7ASr4YWdzjGbTgDeMZ/IuM6yhAhoZHnkBqK45lvKKFLKN56JfWxx58ZboI
gETC537jaw6ZN5/45dIt6iy5hcWYngVeT8JFlYEGc4iGPGBmcNtLRwRd1lzGooNX24CpUsxcjKuz
gjIWzTyXetUMghWAU3EN/knSB7TfRCH0+Z8JUCCeQQzo5yuMlHnqKR5aDiRhczpTqXJnfeVCXsJo
ikzeBG4TmA5VedDbQDj0xjlyI3OBM9djoK7k2Rx3fp+ufIUbbx5K02/s4Xs2lkom8Pp4NHfaRhmQ
H2mV8a2AdFVnABsGoekV7hPVK1vUpkHvuqgh1ZWVyS6dJTIvL1mVwJLkaR6CgIwhDbVwlY+TrxDv
Jf5Z3sVRu9AN64G0gRT2nRlAfpa1buzaAsPLu6iSltO5toB/tOMKQ54lonmoHdG4c4VV/jVqGvAs
Ai+obzWzmu9Z4dPTmjeeOxchhNZ2IlwYh0Vp0C6SosZXfZtR84MuGb7DpQHfaCxDC6fEHW/nNYkD
dVpAhgWyvtzT5FoZXH5OUD68nEGQ6yWPtK9v2s6EDC3KG8DGbxJQLNVgdM9hBZOfIRcHbzdkTsIC
EiyyTVelli65CSAKDT8SkUhz1ZpBU12WbTk4n37X3rDQsNp52sTwq9O0h3RsS+KyX6KQDzc/qN6A
fQK9shhfmSyBu6hyBo/KD9MQwtiwhqmTRV6oPiQFhylfVOAVeHANbCopE/86x2ZXJDbNfARwN0Vb
XcaGn2lboSpvF+3Ahsy7OoecEvyscwfuCAxIC/E3+MllEn924fDyM1ErJWzhQ92B03aetW4SCmq0
RdB9pGWL9LkHbm5wnmZJGNwKWC2WOkH4Kpde/hW2+1u57Zu+Imep8GR17vqpV8+6gucNOLgdXWYE
HquDeN7dh1HIbtoKQtzTHHV1+KWxYk+fxq4R/+h6OdgQlUf+DOIAQeeKdL5eZFYsvwDZFi8gYIZE
FzeH9EnR+B9VWupzGYcBmzFSEA/M3sCt1j6Rn4vAqL15RBKYJr3hUrkykxTnmxgMcncGB/7C3GgG
iz0PmAFPtIWE2BwWmSY/x0VFLMeVUVnDSktrBK53HnwrZC3vjA7c9LNelgV+KHXSaTvGmNcr1RAY
qo2x3ztm41neKgNYGscIpbXo07ouL9uOR7dBrXNbcH1qxm3NTvvGAnBChHW/zKIwTS8TqzUvjBKZ
6dzPk7g+97om8x3BdOzfgSeiH5BMwIyA6dS1HfpQVGDLphY5rAJdfht5OVZ/4rSnorZ78MC6T1lJ
DQmDabeY+9wIvTPDzZrvvoeM2om4tsKVkgh/aLXh9ssC0n1qrvoKXlJFyoDetGHUs6vYyiA9lmc1
si5N7Jut04F3o+eNnwFqjUiUZxc9B7ZIaB3NcUvbYlZHRBTLXuTw9odm6/FZ53ZIO26mrfxLwzp8
F/gFvGuw0snP8K7H+iaRCQYDSzIZLETsW43dVl8JZIcFtsOw5p8YSfIG2GWvNC9NNxL1x9zVEvhu
D97oOWQiAE0IHLr2QtEyTC94kfn0hrQoslZum0q4r7Y1vMuwMLJmFmsXbAZ4Y1V5GUUu6F/I0Fto
X4T+rGkRWnW5CfO+g1yRsk3X55ePgcdzSdXNy3qgl8UKL2sXphRBXKr7ItXpj3JcBbE10P++UgkE
kc7rdMof8fohLV4SME9lYYPUTzplOAsBzikjP6sbYK/LLzoFmoERqAYaOjVToF5/sSlwhA5UdSEg
Yp+ydS/ZFDhRA0OrX4gEnxKA/C1sCn0M91+GsHBgPBQZQhgLtYRQLDZstnoZc6QZ60PWufoaRfQu
TPUtgZx6bOoPYZsBi1eb/pmHwCXH5mnQdcEsDkN34dZW45Rt5doohwIu3jXVDBbpj8jse8fPOLYb
s7Rs3eMPJfof9s5sOXPcTNpXRAdJcD0FyW/XvpRUJwypSgIIggAJguvVT7LK3X9199gRHfHPwcQ4
fOJ2W7VIH4H3zXwy2WEVT/FrKZjthRStd0yZ8eH2yQcTK0FXpRPq6fnK6VxNGyXaDBaQkzlzWOYY
tUQhR9+hxk7dtauaRwAm4VU8ruoifN9SHcGRYWXPCl/G+6BPGcYDPWUR54yuRj1ylZBcOk1LXdMf
uzbclYllRV/jJo+D5gP73jNmZYdKPzxo4jw4a+3Rsuuv1u1aXEP2Di1M0C4c4PjpqVDmKLyLx8j3
kb8ZktmUHbQuWT6NELihcgt8R2qZKznXub/2bdEu4m1adUtna74Pdjp5tp1o6uIvZEagFya5hbDe
0kUVznoZrHeag+RrKKKjdkVA0yV08zQOL4aZ26qZZxqMCVSv2bupIyMpc4fCS1z8SEjcU8tYf4xN
4FJMwPc+m4K71OHfZl/d9SrBBSiJzCqPezu/0z7t49HbkcgMRVtqW8jaiLysJ48aN7n4FT8uQxXQ
EAq+SNT9XPeCuuvgFR3Byp70y0KjFLtUhAu0YJ0dH5h1SVZ66RfmaEFh/+07V5z6On4M0vXNc5ja
N0tNLUA+MfI01z6vsa4ZTtugPUzu6GeR7U54P1yPn1+3T0kjsrr0lHvbBlY9JGWH39j0tK31zRqY
b5We9NEfnVt8wN9SXWlqBFMnXnsvphuvDHaA3EkCiFoT+Zin4WOMl2XX2xk2RJ+UB4zl7w0eUarx
R8lqOGq7ahoeQp/15yZxT6MQr+2antfOW7NQ872eHEAYC3gVN3F3lpUe1XUJv6Lvr61Y8fiMj5yV
7x2Pk4MiWISE0zyUK9lgmuFLR+LjxlAeklCfwPBIqmFy7pJeHSMWPhnu8tNoVURrsT7g15wuHax2
zEVaF5ZFJvsxA48Gy4yXbj+8mSyZG5VR7pXBl14Lk40rHOy+V+rU+8OczXBtKF8qYDi9tNk69/qF
uSU7KM7NrYjClE6ky2e1eLtkaJ4TH9wNsxxjh/Bo7+sKP6BWFaUUA0agGljlYv1jX2lOtYh4bvzh
6K6Je+wSfoy9Uu4j/FloF5GFAvqyNMHV2Qu7Ut2pQ2C7g3CiXGhI+kJYgTnS8fCkBTbDiDzTJeBx
nrI+t4GHJQf/xQnCWwGHX/fjkzeLc2iGkybLdRqYhzEeB7r2zR4MVk0VPBqqau96nIenSoeKyoXf
NsFwV7PpOannq75ZX/oSk1gNiZY2WjxDxjgFs3tY+v7RJpEL0kq51NWa0FTOl7rvitg1etcsSU99
M1+VhtzVagHbNHlF7LcnfwAHufTDZxCWXyvm3UAruoa0dQsaoMuSsX8vyxD+b72+SN4TkKJJUmCO
/9o3Me73BQyC9dtHzUGKOa0uRolPDbTMpX4GQRseqiBSZA970S+4xhYeVvo/TM4/L2OImf/mCpdt
pT7+myscX/XbFQ7aHt36BP0xW0Uv7upfrvAftzte+B3+9D3+QOOk2DAJXqETonckisHQ/OaIJHh5
KV5eiWIqQNqor/h7jshfdEPMDz60bwIxDX9Ob6uC/vUOZyaehCCJvHG87pVVcE7XQb57S3iUXqOo
AI7c43yPYdq6I2AKwi7p0l1PSYNlcAJF02xQ78CczMSDv2Ohu3M1eZiq0S+SWA/ZyJaLa8s8cnCH
VZ59rhK/zaQnLzzsZDY65iDr/q2JZkZh934vfdCCrQOrlIXzeU7G76CX8RjAs81BbBbRMgKlXNRa
uIMjc9MA9sUMbbN4SAfQl26UWa2WndLLrQ8IOfeZPA9zSCim6BdAwnOO5ea7dqMTxPI272bVUjb2
NW0YoSGHgKzi9HZNvS9juYIzT6oaiqkzURnD2xWRqLKVtT5tGlbSuDwSZndLrEvaYb2g/jQ/r5xd
2Vid27I9c/ydcEZXhja+fz9VdT4y1hS18q9Kz38sF2l3I7KZuAkJ7JB+hOJaOwnIUHJoyFJlZdJ+
SULjZIAe2cCyEGQ6e7C+aL9ip39e1mA62w1tIrbfS2+CcNeZrzPD4qbqfdNOEXCkUNNgWgDYkNKn
vEyuOPOfSYfDZKimGwcl4UVdD2vuhysr1hQ7MzOps3f0cE8c/j0EP7WHfpB5UAXOOnqz8xukE5CX
0Vu/EL0fjLuXA+Yo006Nfk49rh6kK9v6o2Lr92nm9yvBnR0PrcbRaXiSvBlPXJf4fB9dq9zDbH19
45syvQmasj8Bg8yCdCjUFEcHaxbMDdytMh6kyzURK9aVSjfTHsrrl0lNeVw1/IrM+gPbmH9wNUs7
aqKErz+9gP/fC83/tlVla6D99+ccGPXvb38+6H5+2W8H3dZ/uL1NIoH6mAQkxkby+66CapUYLi4e
zz8vK0gHo6kB7wIDlxjANcZX/XbQgfkOAwLvBbw4Xk3g/z2w+69uawxvOQIOGUMdBRvzJxsqmVmX
DgkfbkRl21Mi0+DKqPmcKNll4WCeI7BznbD1QelYrh9c951zN2BEXboVAQtvlncpbxW19XJnWXDS
faN3ncQj760LLMzac/aVHAMatHzH6pEfoZO7GWsxy0DJYDxLx07tmriVw8PC2teU44F0sJDQGGIl
5hi/D07j7KynsFUzwMhl460GWefLRmBZoFgsBZNVbXTW4mn4OF6dHkFNjM/tRnH5G8+V/CS7Htof
qFeyUV/txn+NxnHzeGPC9EaHyY0T8yMsPAboWP2DIWNeFm5UWQi8LNk4s3Ejzka5ztTZKLR+49HM
1F97G6FmgaoZIGsL0DWOs9kHyuYG7DxtbJvdKLcKqg2OzySbhh6P8sbCsdLBKWAs+ywnHX1dVjGW
QJg7TmHfQFnnvXdIzXDPa/KQCFcNxzbijr2rPNUdYMBkquPRAcxzrx4iC+iH8qGMR0riMtgTbxoF
Dcvwsy6H6bh10OwHVdf52qjbRfTXUdCelOTXneufE+vsdD+dnCbK9QpVZOM9BWb0qv0+Kf++sunr
j2fm//rhEbpbqOtfD0mw5Yb+L2fHz6/65ewAquYiPgYaAm4MzM1fzg5IC26ChEeICBlOgd8ZtxRv
gwZqgl42xNy2/sb/d3Yk/9hGGhw6UPf+PrK8jVt/sIBB0bke3kiJc2jD8JI/DUkzAGFI3mVwU69t
vBzXSDeIGXBiyxvIqaRprhzYd4ekjMGGDfxhCVhAa3zccuUPIJbLqKJwt+tiSG2Q92HjHtypFnky
E5MNo37zlpVlQGvf1q6f84YAfzB9dJYNg5pdilvRQUNkpS3apg/omEDHTJbVPVRp1OeYj0pYfTUY
aacZC26szHlkzwOiDNSLqy+jF91VRO0jiSiCnnM1rvuqw6g3uo2LTVHfrVhvdKSPPVIRtJIaFo11
WJZCWaWVWd9SYe6iqHMPAxA17DX+re9aeTUEq97BvFC5X0oN37D7JCV7GwTGscaJC7t8TLMf5vBO
i9EhLJeNupr94EurGDbgZGoPQQ+32JAJMZXW45RozD5rkhrkAuczWStR+Gb9GJJyN+jx7KUTojM4
ilq970lfGNibvvBGOIRtjZga+bApzOwJa1zqUn8lFwQKD2sI03NAiozy2GZjUz0mg1Q4A9sD8hvF
rMWjTJ3cWnXXGvfMnSGDWgrNPWzuRvxIhyYAJzFXRu0tWLtdErUnL2zeFaKNAPXKizumFzhgCmR4
qaIT9gBz581uW34VRjK/6Ilm6s5Z7dLuG08tUF1q9wWnX6ppNNbf/JDsZoTYIEsP3wCW72I/ZdmU
4F9Xw/TRBV6fCWDVtBnng134daDKpHCmedl1ln9OTmRw0C6vCDc92nW+80bvKziJk6vX12pEDDFC
vKWIWfC98ufT5LLlq+RdDRu/BZlAFJZMuOKhi9U6NHewBw6xSZwL/PrHpcJfC1cWdDKW3JRzj7uQ
r1hVw3zgtgZYHqWFjRb3sMafntABzC77PFo4HU0b+LmE81azlOxDp4KRDiSh9UJM7aPJHM2/sbpb
Mzks6w6RkjYTC9v7Tv9aTfqg8dhkKlEzhfNI27hfoWBgVkdU6ThPQQkdx7ldSufFWBdQP/Fy4Yun
sOQMvqUfQ8GCfgAQAjr9QcZ1DGVIn1TYT5TDVR26JKQ8qj97bm/aJngb+/ISSWgX9SKuoeicWxDw
NNLpWcECpj4hYyaw+BtecQosdNp3M+R9C8qQ+imKsOrkdY110cjw6PbslYAPfVidiFOHAx+FQPgU
O/xhhhzpptNLx4Pq2PL0uM7duWRJey51/xLN5R7Q0IMTRUdOkhsnRTrMjT7aYL1uGnNAJmjI1gjE
eOupIQdBcT+Oel/DdGJDtTeCp0U9p4ri6Ym+9mMPzlIM92UyIoap5K6Zp3Nk+7r4z9Xmgmp2t8LX
f3213cq3bx/mz2Pxz6/6/WrDko+XdoRRhNo5XEd/lPAxKWORw4QbbuntX682AhQNlTkA7QIPDZW/
Xm2xh1XdRRbN+5nh+RtpHGQn/3q1hVv5Dt7PCmQz+PNYPC6Q6W0QTzd2HusssPUXPS73MWy9Qqbs
pvE68U1Xo6LVQh4JsJ9sJE75kMTTp8PdnR+FAV0JDHfQL4WrZEKbmMmiMuW7YbWXzTI2dBzUfZBK
tndTXe4nJIeTBgcw1P73gVQP0bh+4Y3FpSPtQP02yGYNfKiO2xNp+wa/IkceJVU7xDAe8Hvlk/UG
aqYBbuqweDj6BpEhlHll6/QpiHCNqJp9Fz2Seqa8c4P5hsOJ1bEHb3Fc7nzuursgwbotgvF29vHQ
4sSOaOzPyAPJOisRPlrXLiPdII5u4OPybr2Dx+HTplb3RY0UdTEsLSlIXe6jWhpQpE16KNvgEcgF
MMg0HyBVDG0POdCEVVY1mBo8wA3wtrFbu+tzmH5vkHM3PjTFvjnFo30ZXCwaLc55YNrVSIellLgd
Bk7DefkY4YOPXryLiRPjbuPPzIMCkyZOJhPZ0cA0lFXrQfjxzVQhwB1AP9HmGfj1+zAs51jXe6de
c8xMWdd7R1AXd/5CFGVhdJ/gO1RWMUPGyIB3kdcmSO+jyn2v59Wls5t6uBs8XKnx9NT4watI0mu/
jeEZjCrYtYMHn3aOz55IHh2J2yRa3WdcOxIgtzivpHxqZ3PdDs6ZmTpFXkp+BA7/Oo/OY0uGy8zn
ewsr2Y2cl8ER32QqQhqGC/JSLYvpKnVS+JgsILw/QPKpaBekV/gxXSYR593mOASfXhsWMPwVnYZ1
18a6z/2getBcHCKRaOqyeL8KbFpG6a9ERSD2+yVTy/wWDBM+X17XQf1RNYWoewG9/73EJzI1pMkD
X+89GZ2GaDnoyH4fnUBQn5PHsGd7VlWoACi7W89FxMurxznHEsqpcWB2OXxI6ELgtbhp/Swsvkmr
crCfcIxYQePf26gt0rY5LG5j0qK3qj2VbGLX/qCf5/5VdkeCZ+61sRX0I4xeHLgEXW3wpLuF3y2T
SY9lLRuq437eB2NZUXeYAlxsniiWgWOOc9rPUEw2vUwekIi7kpdiKUBidevTGGrIWuE4J32KrawO
HlRJMEI5jDxXgdBF4A0Pbhqu0JcDOiskw2DF4zYXArBPugcRBGEdKHduJyNPVRvERTOWXtFO5FWP
oSjWFY+b5PhIqwl+Hp/BtoYhyZyqyQFLzg9JO0dUc34z8/W7jxhq1bEkRx5/58ISHOrGK9bZQ84L
Qg6AfraTcXw9BwG1LRQ4N/lShQohuBB3cALq0tpjlRA4T0suZ30rq2HXjg4MC6cH3tG31BntKUCt
xLWsZ1Dd0QO+u96+S4PrXpjbuRue0jo9GBIoRBSm9z4KniHivzRuLKlfdpmQpIHGt667aKqeQz5D
11vRaZEQ4C7lmFJA5VNWc3lxUeSA/9XPsNbDJ7Lha+sAK/Q7pzCk/gSN+9SK+LntqitpgnfTAxJ1
m/gmsukpGrQLhZ8TSrrJo4uFsuqW3jt4wPvEVxf88DqainWCEBE/NeMIwVYSm4VTwosuAZS9OkGO
l5GsVNRdri0epgWPXrzi78nhu7AR/CO392LAKeB7J6D5Z8T8LnUoTYbopqVywtBSjk1KSdVIIOmJ
yIPGQ89FbT8cviLJl3ZiZ4cU1g7oPlWmDkyHYTn4CgAJK9+cpbmgGOPJWYiPNPPyzRk78bAgfZmZ
aTq0faBos6R1HrPu26TdijrGbTPdqKcqic68bb9VK0Z15rvN46zMwVH+U+wPDfAK/DRkXO6WoXbz
pExwbEzHuGnLvIyGQytwO7T2W+pPUF0aic9a3yB9T6XLHHMyrgepxpVMFUGU9ru+BO301W96+z+E
PvxvUwq3Hf3fTUTnD6P+Og9tX/PbPITMWoSWsBSJseSfJQ+/r/ruP9DBj5UeuPgWWvtl1UfJQ7q9
YnzrZ4Ydggjy7zJhgP6HFA51HIaRh5fwBH+HafiBSf8BacAbcX2kUBDHcGMkpf+UcMCIwFyATvYa
gaYeJl9lgARwX+Yxbp19PCZvPQ7pHUgADhZxFYGDtEIy4MKPtyhT9SPVxH8knIKqb5tMDGJyi/ZH
CqoNjJluFbJRLamrR8dMfko5WRGd6tf+LpEccSoZompCYQ9q3RKtEiydNBYZtRVR+MHKd/ZHpr4L
UcICxtlpBCk8AMX9K4AiAVt6lqs/rzkZor7qd76aK+/UNCAIHti61NAooSf4hdXMwB0HnYygGdsj
cBLl4BMEhoSlK6au9PZjHXngyIDsuiAFnpGsHbxDnS7RWpB+WBhkyXSdCzmQqLtq49JZCxUABj+6
LUaxYem5zltf45yNIrMhHK0oImBle6/ltX2oicS1B41E3syIvfn7LsY/g6PVL+sUACRvO1YLQ2eu
42MnkUL8z9LyT9Py3z6iiHG9jR/mrf/rc7qZk789pxt6tPWDYTfBe6J/pPR/eU7xLnDQRakXgTLa
LMPfYqd40fD2imG8WBq45R99S2RV0bsE9ihBkGLT+v/Oc0o2SfCPkhxexrK9HC+Cf+CnafwnOV+x
ZBzlmOgbF8f5AdrYnjNIR1CSzkM8LtCc/f4yDxjfiLvC/Z6HWyUCBF1U824w1eUICx7g7odFSsyS
sSkiWAd4lw08wNXpTH7ObeKg0ClacygtzW3H0i88XAFIoCUgm931DF73YsLgkOgUmKbD993SfikT
prO1S65Ws0Dr1jVinNKeWCMQVg3C05pUGNWD+CrygycWQie3VXKXTnGdK1OBeTJv2NMgyYTseWzC
lk6IzwAYj8esHterSMVf5hJcsUfISyr1l2gez2ntXaZYPjphc2WhquGW5U/KlC51PEQBymm7/u+V
EjuPOa9+NWesYzvgVTHM3faCgfkFMeNrwhtBeTjvxxnoAz4Ub1YCWlAzSpyc2BZVtHJc51LmxGB2
W8puKZJEDcWItQppkObGQO5DNIEcNMfWBF7mepIALNg6eXtUEOxE1AEDGgXKETyVOf56S8rom2/b
x3pYduAgG0qYup2DaLfw5lgBK0YxQ38bDfET70pWtMHyElUwXaopbHNwaXUmVaV3GJV7iK3xHuU4
d2ZW8c7j8jR78oOvDbBU6z9F3HjAaP0yg6hzI8bYv5ZlfJgT9tBdB/wYgb1CBOUcLSihQDvQropH
2KYdkFG7isISOwIhTV54hJz90CmfSl3tYZKjUabR3+o40rmwsCr9ztvJBECoy4rFLocK9VJwi8W7
MeQD75H7wMTDDqwLrjeYdh47hgDU2BRikcEzCTHXIIwFvqysUArSnZowOsrQA6HOdyZhAHcQXiiW
efYzn0XLPvlhqqpwsMU0OndVO31P13oyWejCVXJBQa1d0NMYXFTgdH7WgZRKo42+8beEdBInObqa
Dv4GV2kzvwGrf0StArpcmsLdHCx8dPE5Sr9oMpKMb5gWBMmuqFI2F3U8wCEDOpp5G9gFGRabeijv
0xGTqF9iigUFptLoUo69hwoxrGuSCTwXMeoREgB9O7KBZOgJcXfYHWXmgs89L+DNSnBnZAPQLEi0
ZEPStijYEbNjT7mdwB+v4IkCEFBYp2+0xpMiNrwNDQe3JXg33rhu3m4IXAQWTqroqwUb1+u7Kgha
aoDNJUlTHudIX88likBGoHWpr78HvcTMDuiuCZq2iOu+zp3ZQUnZxuZN4UYkdiHL+ersgU6J9au/
wXzmIsSxB+BXYTuDZI+PwdiUb8tGAfpLd1VuXKACIDi3wUF53IGtyJ8dVn/UAx4ZX2l8toEX9imI
io03TFGrB8hYPiJ09ZluUCKb8bkjG6eoFSsCZM2o0wKCGlmnLo4/h1ceCEesV931PCLEgJiRKOJ0
LfN5QyKHstQZM8Ak+TRejaZOgO8BoZRp9cANPs1hwLyjkYKjnwM/cUQbEBBc1jtdthE8TsicfTOu
WQtWk3RmyF38TpSvXYnNCkgnjLZyNy5W5LqzwQGVHvMGgNZIAgE76O6agJwlGFG3dB/LDUHy/PFU
blASWde5or02RqCgxTMvdQqVtoh6FYmsH8R5GEY4c3YkjQ+6rlTwaasezSKMB5f/CJk/hMythedf
C5l0QI3/fzMP4It+nwfAG8OKR5bXJZAeo191TB//CgRwiv/AdPulaBIvXQGFjJaf7ar+KVb+Pren
aINGFVCKnDj5uQj8LR1zu+//MLgDQ8bAgdI2DBkBkqb497+keMd27pHO4uSmnwMXlOJ4nJagyz1B
oAlE3Q7tbJAM7fIlhiuU9yz4ZkhysYDk8nALYIgZDrI1/GxxOlPlKlh6rqHJ2g753I/XaFTr8yA1
KNPSw/uSqlde4Xhv5H0diL1a7Mkn/n3X4vwT3YJ6INj58Nb9i2qQb2JO/NTXqEaUaWMRjSifUHX0
JUTuC+DoOmfR3NyEjNx4U1SknT7FUH/qcCXHdSzhENZ+ko183iMjXvhJ+wnE4H6YWHhSmHvQTvie
VAsKiVboRo1GvxmeXIKMFUVtpMpJW2buDBIrbvnz5A1fazyYGa/5AUqToi3ae2jDiaEW4GhWteS6
brqTrANCJ2M+u5F7dHY0lBSZ3FSNAWLNuhsRju1pbizyDBXw5bjRNSIbBp6hy8rrPtJuDnZ2RQ1d
sH4m/lhfj0H8ba3wzW3Lht/5SEtQ3psPDhv/Smh5DFMHNKPfLnuu+uSmr2Z0XsYTfmoYyVAbaVlW
w79AgkpxCrY02qPlCI0RBmGTYI7Zncug56ytYLRjaLxrFMF5OU3w0BrCCneR4kDILAunqvy94Fvq
eUWGN5oxvIHXPDRl6eVQK4AyBX21QyNpuQsmIgvTWH9vIfEWiogLUITzasVNrbyjXdiaV03yWa4i
oiJugsLpK5IvwyIKr4yXPap1ZOEKqL64NBewD126twInucACt099JF0aZhBjRkbsHrhTsh+23RI9
6uLgumWZY8wltCfEuUMzZkCbFX/Tbo4iWmE43iUMEpdYJkiNmrWFg+QZoiR1dQrB/u6Zzx8Xv78d
BlcV3EkWqm37riU6ryoeQRiC+nVqU2BgzNvS+uv2Lap89XXqQ/GkELOjPU/VYRlQTeDPTFP4m95N
iPIoytsV3jC+75QYZzgkE6AsPgWQ7uKh+l43qKxyRVwWI2ucg2vFbghlUZYKuDACN7RJlaFAARoK
uhqNS6hKzA3qV7NoFNHd6s13Yh7uo6mpix4Ob5VJX14jqGsPyHJ9WrW+W5Qe7mwLJ0Cidu+qQi4n
I3OUS9NFx2iZYOc58bhPShXc+87wXKXaOrlrB3hs3J89D95q+23CnypenRrJNgjWfcK7vVMtj54z
ebBkWZTB2z0puN7FNMFqSMcBxA1qRlpEu+E6s6JSyjk5Abx4Qp5GcMoZWJ9HNMKcYqFup7jPHCe+
6sOvZeyfBx2NL+D7P6bIXubAcagCB5cn0zBdBlzHhzS1Ao47tFlWuxcfvxtv+Xkcg88OGUYMWfLK
nVyPjmn8vCaIoFdiTYANNt+hV4DIbJqjFssdSjsuwAmQmd5avFSTwCOsPOT0Ro6Kr0XPdEQZFmol
mqPqgWPGPQl3y4Ifodc1N4PDHuRcfnX18AphF6cgaijzuDbnavLe5jqKkIAgiDz3mu08dAl6FUFu
PzDFKHoMrivGeNmPVzD4v6DqF9yRE9zCIUiobmJ1RNcc/p/WxVxQyzFrrT4Pwj0g7qSyMSh3wtXd
TZXahQpEWqkzp7mdzUdfRptiXeVIHEevQHyasNBqvlK+/aaD+KiG8AUpp/BYNbCEzPqObDYSyHo+
4C8td9xHahoqZi6j+JoLnDKpdgBkQ7JNUYA2au/gdNFhmTr4yBUm3mq6Q/XxBT2/iCRU8t0m6SFW
5Npj7d4Juj1D8hg/UzhcHv45fOPoucz6avjsq/gWVQa2GPVytBs7MGxcSFDfIS3q4C4YMkmWM7fy
rgF24FX8UQJD4JE6xBuXMABQkBVakn3Y+qrsY2il66FEGr6SaPqFP9QDcgBq91EOYAlwjznLvk/8
PrmtmlpmLFL3bmXMf/SSn3pJ8G/1kp+vf/vrcLR91S/DEV7+jeAmLFQ3xZj0C79E/uEC104R4kLJ
C1plfxdLAu8fYIrQkgNoEp04P9Dwf7KPmJtQZgud5EdFLr48/DtiSUj+XMEBcgqtLTHQxxDjEepb
/jgc4e2nLmllJ29dGcOBCgY0xgbT8xhHbG875wYpW4PEVXVVSyQozJIcOhCK6PHy+hwW0YceqitY
Co9BrWSmvC7JF5IC4GHIZCTkgKo7+C/oPZi9w4S4c9PgPAWLhHS699qHNouqCWjPzAtU6bzxWFwt
dviIsWlMKSkAGgm6eO1VNwff0JizZwuMBdKj8APLzHAQrTmYND33ghXaD3erLwpni/x44XiJfP0U
T+P15HNUNJig2vPVf5MGzrTrvqBbJtzFZYmwcdcse+NJzCe4vWgQ9adwtuMuAaJtfeeQEoGgvHgo
R9tmMyFTgYnyTnkBw53Q7pDldQ8N/nBnEvt+tiYTRCGFfIkD2yYl8jvCTu1+8UMwNawm1FnKRyP1
p2yHOXfVhHO+F1fIiQKSQv91ocZWbmG3ELl+vSDylRS1s5x4aFXOJvlkAXyjpBpnQaLvuEGBo0rS
EyrJGI1De5Wqrdpi2MM1u6sQdC+G1cEaDiIaQZpPz8GU5GCFnrlqKN5M/yqEd7/0rUO7UscoFCNN
tkTkcW2q11p1+SQbQqukjrGtVxeEFc7/xd55LDdurV30Vf4XwC3kMAVAMEkUlcMEpYicwwHw9P+C
fdu3u53Kcw9c5SpbIkUCB1/Ye+20kb+6bjF36QJ5V02GeRN3FC1KqF3DkX+MU95/NHMgLxHoMZOm
djDR99dYvcFfDJ9Vmu2lLvdF1LoMwqkteoVnKc+JRIZsOYdoVKoyfgJkezO1WG4rG23tog3bKLIy
tyk5/fuZsZqg0OO47B0f5LC+LaqBXt9+NJSQ770b3AxYrisX9bMyJBd9mlxgt4USEim2Z5h9wgK3
ZHGN4R1BmoZjqK+3oVadIK5fgOi19rnUsQTvkpOcVs9N2iRoejMMDUnrT0zhTMEbFeOSuUo+7hpF
Pqsq9gQwObtMAfIeDfuurO8HadxWXXkZV1UA5tfBs4SLIepGh0WTgH2Xx2yr5PEJLvBnh0tNSqet
SOrZT8smd0uTOebMXzVb54onB4+k8dbOckZ0h2Y59eNlKAGFkB3IzuWVYpRndQx3bAqupMF0IFeO
W6QTiPkHmoUqRse/YO0zU2zNUpEw8JJi7AkO69aSX1oyVfRsUy08oQ+mX8jjV5xhN5wKzdqo9Xqr
Zt3bBG9VVPaXRR22r6QGhcXgOFulNPax0hj+EupFy2xDwxZdgk6VpCnaGJMWepUVi8CRoEK12CSi
Ke4PVZilQTHqH4PRA1GNsw+GSU/YHd8X/CebqmOPHWniPA+rCCwxR2/uzX7DccTICTSD2h6xcfRH
zh4ez3ZtUXk2jGLKot8bZZGagTaAxr8fZUCb21hvle2gzzX3Emgtd7KmFpjFEE3Kxi4lfXKbUdXs
nQ65gVGQBtThBAZlHm4duVD6W+G0koZnZKiOwkAw/NQuujpeZX29q6JeQaOBe6vSMz1IEoNuQ8aa
2EY3XYhErIdzouvlELRSO21tyTwa1pT4OHx1d8jN96aq2Cv1gAWKVH9CVWp78ch8UJEX86BVXMxZ
acPW1hl4zUb1gnz8NU5b1e/tlOHoQu3rxKOnxTRSegkvSZbHjMa2xbWOP22uO39K8JdntXSpl+21
FA4YEauXMRFfi6R5aAZTt0Oc6Ea1kXudNh3ieW/IyCBww7wmWYXyAz9ir65dCEEicKPFraxi1uic
Cymdn/NY/VpoTzj+UVqPBciJxEe1rs4Te2JKuzBqb7KJowfPhjtN/pQfc7zlcpbjRJ2qVxEtiNtQ
vk7SZHpNsjBrVouTaa36FMOhVZOka5Unpi8sg/YK9sMiz0cH2obHp1BThSHW7iq532r6yNmOztZy
EmvDxJ17KZTuejTfRvSoth1jMD0N/Vha1baZI3jxluacRb+Gw4c5QW77mkDrKeypuiqmWjCyFxc1
A2PXtseIxsi6SkR5OeRW4U11eAWigEFYh96ufzUdMW/obW/nXGo24B3pcBweIEY63IfD0PmDKB+J
ajqkUsZ7HJanoXHigLsOeXAP8BYtGcapqv/sHOeeAzqQ6/wiK+LeZaq409LqvhkTGhJrwkeFQ1Jo
Z9y7N45RvSU86FwSN0663B91g/sOMU64DRdlnfy2+0hiJj/3InJVw2Gsn2V7x5htxoWll9pqs+2g
D3uJ3l1lyXCmEgkopNk4KLs6a2JPHzC1zoPOiFdGVIw8uiEzIrS2UsR/tcYUrlA2bktJUramGtv7
ng/UQxB7JdfYfG2rPwwlLV5jOgcEKvd5WcmbueIhyJEVSMkSbWmxjjmzYQDJdJEtd9oxUtSzqWAg
kDq84RiDiv2i0v+OtOaIaZoQBpi21/XkHA/pg4TTJwBBjJggCTngDLFbcFm5smGf1XZcIJog4TGr
6Z3x6qNmNFddyQxC194nxs11Zz5VWfRE32z6vZbsw6J+ksEoa/hCha0eNXhJmjrD98hXVJN4jUgH
GSz108mIGxkSulQLLUYv35b6eohLBsqQNvb+HUn+OpKkSv7zkaT/mf/fCSr0H40l+cHfKm+ibJDl
y9TevxqPvqu8CaTDL4Cp4JtR8tuacgVOwumHUonvCI3litv9VnkrpBGCNMAqZGqGhb/4H1XePw0l
eYCwJ3XwRcmOxon905KyD4knyJeSUAG6UDlLLqwo87Rx/rUz+1P6G/X6Dy/EX4JmYYU6sJOFJQhv
7McCH8pYRlmbiTMiiWzfA7XRN8YyrBk7qMfUKIOwZNFq9tWVMw8XTVYjp2k5OnGyewJW1yZrlew4
tobjY/oBuDcjOwNpu5o82yfR1bVX2DEC+nWaGHf5bc0Lemqdn1HvIDe2OBXtRm18GzaNpzEIY1Jl
H5uCOBbmqDQN3YIqyWQCl5VBaI4BmtneHziE/S6bGKfoj5JtXTr64Lj8mU+xTm4Be8hb9iA3UjGd
JMk49YmMfEfQncOo3EOtQXhVRGC2lXsk1Dk6v3H01VWgPYz9NfCbgArn0bHbTzWyXqJifm7XbWA2
WKj/5+RstOHRBOwSYLfdmU7Ybru45Rtq2/vKjHaJjYoyj+MjWSVvBPlkwVjIBN6M2DLzaqp9aVhH
YuxjAqVfXpSiWAHn6ZVuwy6fc7BWteY3ZvYyWMp920WX1VQMbqWgr22GLcD9HQtAibkrRDKB5hPb
PPCxWDVupZn6uugbG0XWi9OziAN4PDT0Ad2gUx0wU7FXKSdH7ZYV3Jc9U2LLpnEpjQPy85Kxb4OJ
Q7HmkyrAIs24RkSsJEGm5GcoRGlAi7NdSHaIojBye0XfOiOfbSwyzl7TGP26cV6g9O8YkN9U5TL7
2tI9JCYUgwgijav1+W0nhr1iZKPfavK7THiUG4n5Iacmghe3XKkTGIIuTkfgOe2HkqsfqsgxZ9Ak
Vrmzh1Oi4NQQW+bj1wV4wcmqzAtLWyi68/J9Seun2OpirzCrOzwSlBaNle3EoG0ZCnsq5F/GX7Bx
uMRAI+jELClT3LyWKcqWYLGlfqYBmFoKqylDTTurAKJ38JVKX7ZEoNhinXW1ZFnkBr78WVlVdvtW
1z4EZXZiKMG4sA2FYFqPD5mhrRM5QZHmGqgY/WFSEj9L1b1G56Mw3O7XXa/dvOL0uVEy6dN2+Joa
1PsVVyMz2JHIgq6HwyD8SmTKXioMpslivLBpE32JgayRZIy/ujFZHX3i2UytbjNF9WWUyKHX1RPu
ohVG1V3UKR7ivqPT7p9gLbKpcxBlpzLMruoyM7lltTI74zc45pK0X3KG53EUx4gpZ9YcY/JhCgiK
qUg18EPKDXS47UQFkuEB8qaBTtWsn0S7AZayp5AGEybtZtN6nVL5ZTF4Glo5aKg5f8n121GAzB6G
Q11Fbi7hQSlbTw3Yu8aO3rMb1DZC03fU2kGrxMzhl3rcalbaB7LCdiIa9ZdSV9x+qoQfSi2doqi3
g1JezZV4bquUKfWsP8C4tS9rCRrh3ZogENmIuneVWij53x2jP45J1lOUx4WOSQZNC0q3VWX2/Q6p
6zpND2dzPovZs1x9Gx6m2+pynxJD9Vo+1ptszyTQDY+0KIOfbrX9dw+4/9KSvk9LW1dU/1th/ffl
mR5pqNjUNaX+x5dvw8EYJXNYzqP1Wod7R+6RVb9IVeH+89dRZYWdHXkxuiyvQNzvVmVOzzMrAQp2
VpILgLwuemwn2mPS/JvXMf7g7+Hz5BmIgwFC/Srh+e51GoQGxqDE8tk0jq2JQZ3Vs/7413+L/kff
2fd/zE8vMqDl71Ss6+cx6B4gsGzGnfxh+8iuq0syiiL3pt2w3wrU3f3J9nP3NF4mwUO3CTfX6UG4
O/IvLnqf/9GvAv7ZPPz1+1N/pAv/+qWufmNLMxgRMu378UPIAZti+JKVM0vAE2aEjXypPEYHWKCs
5P3ZPTwr28k7NYHYGYZXHGm+r9mOBOAG/i0kf53fKlwTf15IYklko/XR/36Cu/7cd3UkkjSZ9TUI
Xb4pCqzf5G6Ay7mEQXHIxOqw4/5+grsCuLCgatxFmMq4A77VkavtR4EXvP5W+g1I6P9gvf3jnbQO
jhlHIEpFAUtFi9/1x4uoH9hKAG0V50E+RCTkzDdVt/3uQ/mDw+fXYvTH40dG76o7OM7VlQbCfPv7
21WRWi1Ns64+a4KSrXN1o+OQjjW11M7Mh5txLSmm7HqpEtM+rQzhpzay1Ozalo3Zi+ViUolPqb0O
iGQTg6gL842pJZslUWZ3WDRvnvNzCLI3ryTQwg7rluq2l3lezTFS/8a6mZJuh2ecaJkCAmbSK76h
NwdQdleSnb3lc/YqsRAd6nrPYugJVRUNfBJfRX23sdV8b8UACJWp/WoHC+RgIvy80S0Er8AmJR4X
LgjEXTPichis9B68UqN1NHjlU2TKe9CDKJeU+gAP5DMHQO6Gk+7Wc/EZ1mhm7KIGFyZPrHG7NsAP
eRH2lvDtskVeIEg0rC35berKg6Yz91b08m5UogMI4vt2ivEPJP1jVsydF8/iHWfBYdbbMmjS+rKM
J+E7jaURBkTYQ1i1t21C32zpALWiWbvEl9J6fadd5wJP6DIOT1KqEWoDk9FQLdanav+VWpBUyFKo
kCtWNBv60RKtjliuSdw8a3DBQBt3oSVG3pQO5SapidFQRuZMer08KqCeNb5OtxqkG0NItNNqficK
JvyOnT1LTauDNan3DslLp7wXisc45UByGdYWpdFdxY6IbntnWhE4RCsR66l6+tR0BDGWj+GC2CBs
bLgDkXJo7aH1+xE3jmW81wlzajG3x8HS320gkD5hGV92gdIxInDPb3rnLmrML505hczclDA04Sld
uotViGIKwUhVVJxHtXtT0hQwsN6Th5SV+zwBiauPfYCXIPYGjaJB73qx0SXZ8YxyOJNydj9GA5vZ
vGcSFbcbRY9vo6nHL2FFg4cVhsQ7FmhjxFCp4vtz7PRWZboH1oElqjM+ZozrqE7MrzR1Xgyy2iid
KXO0KUMOFcbZJfF+rRelSe1xrtxH8Cvx0NSAxbSrCCOLH1ex4GKdXvBJcfWIBjmc4POwrOU5M0NK
XiZsY1p+6mhCgrGV77Mov+8ShFqTtPIcov6ysKSvXrKfWeyjcssYy2hKB4orhATJUtus0Hlrc7av
fymWhN42IQ6J0XPoupo7IxK4e8yMq9zJs/sM9+LeWKb0bGrirmnUnbTUnwVgsSSr8VxU9Qds1aZ3
LXQvQ2/TS4j+OLRJ+qjrPVvVkGmi+VA6m2k7x3N6Uay8H0m6aYfUgdid5iSqhgWG7RGRpcTew4d+
XXldbhjuwvUbaTWFqHap44/3rBb6DLvzmntzlfSdusp6wuzzyfqgcTnWsLwtSlDkNcKY+Qh85FWa
hiNZqOglh+dowKbFmXPTlsoGleFNpWh7oUg37LghEUUPamY+d7ZBNpJ8dES04t/OcxET1dIHy4AF
0Jk/hhG0M9sqP+v6bMPq1ssYOVtdyxrBNhhujycL72DbZDmD2cWPE0O4lYMGP0U4HErS1dy3D0Xi
ZHjTus8OJpraTI9S92kMXImjaQWajmbEC3EYM34NBVbrdJglaSOPs/VgReO0bZpW9dIIsSfRq31N
zCmWpEpHSLgAFhtJkfHylHPLzSq9Jv0E0dC2n6vWs3O2+bZWPGRNFwBAfBIif4Bp8ozdTLuWB2M5
88BrgjZvXhtV2cet9jGF9hVc6pOD9XNVDSTYu4FMJ81os7HIk6BYCraAoKAvoyK+TaLoLVVBExEw
mx/bZbbgE/TUyKVMUk4fP5cq36KI75KkSn1Hkw7D2D0NIFxvbUkrgnDte5g2dqgRePbABeYMAOpk
+t1Qs9tAf31nptrsz7MjNlELkI27vHsMnW7w9d4qdtzNtt/kva+b47gblV5sQxWNllZU85YYmdgb
cyAIUZ8l3OxEMgry13ZdNsIw7m9IqvEaU9mmoz66lRRCA9RgSprKXW1UT60y3Uak5OyZSTxV2DAI
cVvC018/dn9fHsq0gqgcsZ2w5pV/erKb+VAz7WmGc2WjeFSusFCavGsDrUL6d7Xyj1XEWooyJCOB
gVRAxHpU5D8+4LuumnpVdOJsh1i5Hpo5iKW/KXf/7iXW//5dyQ/jIs/FkItzzY0JltKNxxe9vv3r
z+wPX4SYAxjPJjXWWnV9/yIdo+wpLYU4a+1dU11MErC8v2nFfv+1rPPE/73E2qp993f0Q2VHij6J
s27fFk2wEGpFFVJar+n8N6+01v8/Vl0/vtL6Tr57pTwejcJEznxu5sVVSpPxz2EoLsW4GYvDUvyX
YPWno8Lf95iKzcQTozcwJlbdP7UjxF9NS9srAoHKk4Ln0jLvovg4F0+/fEX/sm7WZvnPe41N/n9+
1cL1/X2zsf7gt2YDJiBYK8i5ms6Ujnr+u2YDUQjtInA/ld0al8ZvzYbmICSx2NbjC1lH1qsj5hsq
a7XdqDohnfjgsGX8M28NypQfrkmDdoXfwxREBgdgAeb66SJpopBQN2WE66tXD2IFe44QPiXG7K6V
du2ZiA/wnwzmngy97lFUYEDvLe52u0DL2kljiQsUDSyJRi1jNf0REb3ltxBKvFpRlWABMxAUK4yf
ASzFrT5UmyZ0RpzpAEtTyKWEGJDaOdkxYA/r3qEIYYJVBua61rYgn3LYRbsWFmqfTI/h6lcd0/q2
rWKIslLi7BQ5ei8hqU6afEQTeSLTFoDmClslNVgJZoMHZg2JNRfJdl7RrBWMVra6z2GvHnqz7ghJ
wP88RnlABUoRKShDEIq+mSSB7voV/9oSyBA41fRpVuYnmpvURyo5+B3UWGfSnkq1Kg/1kFewqexX
dYyv4xU1y9t8d8riKjNQ1Wmj5UmxWeH3BnyyUWVli6ig2hpg9VC+BVGFQizEK7AYJL7nymZaEXxV
Xm/xz39YrbgRZhbtiPWEujAaJCKQ6euniWRuBmm6Yg2P3ALQXwLwb1zJf7qqVGw0ccSXKxcwBRCY
j4I85f6FCAAY6BoMwQGY4LJSBW15frBzhJnnqQP0VffTgq6P8ZtzEWMtX1aPeUgXtunSgcyMiXpD
X/JpWyQ4nJokdfb16lTXMvUejRte4dXFrqK+WZDIPC+y5dZUPc5wN5h5dIK+Ux+WX7zwtBc7nsAb
kco3Cs4OBpo2ThUsPm4mJw+r9Qe5JvZ6jfRhX4vIfanNevKNirwaSarOUco60MShj8vzjvAXjBsp
8OSBJQxefn0o+YjJaw3T6bE2kg9LKy5CKYX/uoIARNsXriUNr/oKCUh17VlS8xdG+WAnI2s7O3oF
gDrdqTLGoRU1MMEckFb4QLPYwUye/QSYoARQQEQ3oUEQCwgrui2W8kteWQbktJiuufIN6iwiMwvk
gQL6wEDaNINCyOP+YgaNgJ/spWc0x0LCcRsc3A0QBRmYwgRUYRYYs5tQfYgKeAtxG94RVnPsUz6h
Wo30QKuZkWdgGkpwDSHYBh6ki5tHecrSnfE94SRvne7ciDY9RXUbqOGKvrbGK6HoN9rKhSjC5LoF
FAHyz0PXdoiATg+mOOJkfYvm/mFdjUSlgarbuIoBT2gAKGo5YbnSzU/GgAojjaTCzRKkihxzIDYb
8hSJ25horEdCbpP2qQV8oTnjZaYRCg4TY1jhGCOJBl6jiX29gjO4YBGMS/kNquq3eoVsWCtuYzFt
xE9YX9FJ2ptwhXIQvFNgTIf2tAI70rpIicVAy9WBJV7BHuuJyymlVJsM6kc1yBhzml4OBoggkYwO
RAF/JPMRcCZda7N5mQ7Ou2ECE6kt81419UtNRwSjrcCRca6JmV2PuBaxDZv5WxU6Sb5iStQVWNIh
4XcUI98VyFeUFWoSrXgT/LmPwxLdKrL+Zq0AlEi1L2kpQ0RPkoQJOL9RLIT4GF8VAi2sN5W0lI2y
QlV0YBHzilkpElWnv5gDtvZfbb+Et2mzpB4BjnflimkZAH6917F0MleEC4Q7mKPJo4jHq9aJd4Vh
fy2M2zc9pkAk3DKS+qYmka0zJFhh3VI8FngVostFjRBgmeMKgjCOht3eOStnuF2Jw2RavZDS7jBf
GDUwBMsT9ANKibF7M3up8ZahPetJfopBGWsgjSfQxsrKONbK9oA7eZNFek4LaVyDNL6kGSfpeCUk
p6CSbZDJMpMoRP9QlAlLl9kaDHcagOUkJCYa4HK6kpcz5I68m+XJWaHMzfxQGOK6FumZ64EPAXxz
AcZ5MVCg9KsZYJRLVvdYESenvy2BPysoAGEqHHV5ui+xYYe6cTaBRdcObAKbf5lWjrSVk7Q5G7Cl
HRNgYpLCmy5ltaexRR2V1DuUKLt2ZVNbRcexY0JvXbnVyNPoyH9hWdfpflnp1lJGHsovvOuVfI1h
RN0j8058J4eLXa2E7ExuIc2s1OxoYiW5crT/rcp+lRJQofx5VRagDS//qCTjp34rycAqmxQ+7P6h
Bso61dpv81/5P/AFiGH4bZL7TUegWf9hsgtkUPlFKvBLtfatJDMAm+JztgwLmsEa3/tP5r/Wyj74
rk2gJHMgKTkMm4ESsEXQfuoTswLzx9SH1gkC2yHqm7G87IU6m15ajHVNhlEywBwRXUciVRFND5Wz
Mjkrp8Q90Kfx86R1t4QwzX7clZkn+mFL3LTPzo8tqFyqzEFy1IFO+sa0CvFtaSQb0mFJXiEfBeUz
Et5ceibx5wY706MYKiW77vET3WI12Tliwt2PyBYtJWbMRDplYWkLRHYN1hkpep7rPj6HYZyY5zhH
4miUNotdHUqf5pqYoyvfCAu5vDNJAgtCzimBUFgJe2Llujh5GHgQQ6PKxGOmOjHmrazaJXGawhuR
20siow5iMG6MSJ/R45cP8pLfDTpK0yqu39XVbW3Gwxv5RInX9innmfYWr9E5raSfzEHFQD09DMxu
PI2CUBolXyo4AqJVtKrXteLbMxwWhEP6OiV8xNNqs5POXtTIuM1scZWmhFnOUvKhOtZdMeifsp4m
m67gQzHs/trSMp59mHx3gt+PrKvOXmaNrJ9MJDt5YR/crGv9IrfvgByoAQrNEqMoo8wpVXcxxOly
HFu/EAkzWqYTRsGgltCkhQCBrNyoaUPClzwDylKvw5WQsmgxukhd3VUZS23VzoTnzJO6n0cFQcIg
f8iV49tDVxB5ZoQYeLttUTqvUVwdTcc6dhrsxcTGmYKe69YKMWgQxhlMofQBUybI5WkP1voUtXh4
8Kb5dYtKuCjXPPOw/uortsCovTN3kIp3ETsT4tTyiUsaRZszWjtzLf25vK51kERub1en3kgl6sbw
TIbbtRERFxDFyk1YS+zHeKK68tQaHm6zzuN682MGMwMzJxch5qHnG+y7IYAfm2wnA9++KTfVZin1
fTHOV1NjPCpdf3L65C7tkZMncvdQRPHNGumENXjYKpEp7Tm0EZjF7c1shXeYa66XhgGgUMieh20L
YytJZl9pw/MQLrs5D6W9NknvbSPFvqzX2XY2eEgtipPDHIAhHBndlgBunSXAvByq2rpKCSELKpvh
dT2UmleMeY8ZTFzggf+Aw3tIBhuOeZdcmkjd0UdbR8i1ylZ2kO/OAEAVbgBfV9JXGDkimJ3+ymn1
pxH8msetDsVsLhgbDNoXCtbFzerqZlhqrx8swJeQdS1rDfsrkWn32XiviqXcSTpXZ7iWdF2efOaz
uvBwtJ4MYdyq6CX2Y8W8LG/VPW2i5hO3fRGPmPNMHUGKXOh6IJr0KolMRqnZTZGPpyjm2haxRXhL
mm2SwjmrUdkEZk4/IUBCwemaZlTd5h0oqhFTuvwVqvqLrOXvsmasukae81FPPyGpn3onPXSp5XhF
UTwUolc3qgMyGQX5NjGL52rWj4ZUzca4giE7/WDpk3mtrapgP+mYPM5x86YJFg6qAQZ8zUYZjObS
lKZ+s2R0V+Py1mrqc2M72s6R4UvWjnVehrH07T7GDN9irjOhYroQmt+JV4BoYvW3cdmzY6nlHGAX
kv3BylLOWu2lNvXbviBhTZCrFJARKvyWEGs/reuStA35NOLP36Ag+RwXMDGlQWWZqqM/IsXfZVnJ
IFjS2TCgDHULmY4NDx28JO5kpYMBL4fCOCWTkRAy2EzIq9TY19TmRpQUMDMyy41CuleWlBPfU0Kg
COPSxEiZmaZxzYZA7OcifClKdLiFpBcb1UJrOWlcrXWbvptWSRcWpsvGKMMg0rV5Z5Zts69qPchA
OPixZeaBbdP4cR4u2zJtXlpm3yXj+UiE24qS/TqWyE+EJ+YQYiFkBJGFE0xSCdqUcKBrs1TrwGqU
PeF8FynLg6AvUntLn0zoDX5eLxxnnA/D8JE1chrEbKkOag1n0Kgx+GdTVO7islzuF1Hw3YhZCgwI
G65Ece9GZOC5Rj/uCXVD6aPYsEQNcsVy5xA6yxGVaYEGlP4mzJZrwrh8DLeMni3zYuno9OIBngX1
/7ke4rtSReTEtDsPao06bIil1ku1/t1sCiyapm5vJxux3KxEvUfGyYQhID73Cdq+cJH9DEbitq6X
I0zgC1JyfDhd57GFtKnhpQCPS7udWO2JGPZ3GwRJ3oUMJCyHNpXUaSKGDCJJ7HkTmhHbL9Yh6LrF
gzJkr1UmnfM2uc2IxPFkFB2btFVMt9XrzxzkalTIetBrOsDgBGH7gHsTP4f8XCd0X+OQnEJnAI+h
yKMvmhZxfpgdSxs3Szql0UMT5z6O+meTZspVuXXJuvzC7vpsaBKkuv5U/6K86ov30FCdDTGLmesU
+QPzUXSFCboqFa32Iteyz3j9UqmhsVVVdsxbKhGdZ6oB+ctTFOUT0BzutvDCxvGxlZP5gJPU8ZtM
clOjfCzm9jSVKkLwuSiI4NE9vtBD0ylHIy8+pNr+EhPto8kEhejWXdilnwgNg26o+m1HLCTS6cEV
lfQgpzKZsccipVcZLGgR2aszpG9kyXnQ4GR8gdYew/J61dgR+6r2sHSCzi3j6yno1FNGP9PC9Zyw
RwhUVf/UZJJckFzeJmnE/8wBjkb6ImlzxdXRH8NhsZMtldsLFdg+mWDCU+mgjzMPi0Ha/VAnV2Zj
u6EjHhWNX15PFRml6TFjarXViv5dhysTWSGUXcgNslVArygfFI0HngOZyYiVwp9t7YSK7b4VmDOA
SrLMqJtznTgXoOFRbEJVGaBJMZ0zWInrxRbXI30pRilTQdhPdwHsgbyKAKs2s58FMSHQm9tibPjT
7BJmNHWna+fJRiohtpV6u7e0+CDm9CtWjCSIhH01K+m2WrYd1DbV3rZz6SvThS1ld3GOAUHSCehF
crtN05EsKotCRlveNFsgiY7ebBNbkYo5RQplTGB180pc0poaKcg3rOWxPXL73EUzYzX6twcFfwdc
Dtfu2g1y7CjfqfjDR1T9oa3V16XZFoQWlYkJbkM3FOkxHqtK9iaVAO0D+kKx2pnEaI9BlY/SfD3z
7ZSykUi+HqJUi/CcJL7tZIeKxCh3yljz0XNuFyeioa+kQLJSyN2ZJIJEr3y9yAY/HKsnHJggruyx
of+PFAIYU8Koy1uB4SdAOfZFPPsjEekGdk2FvzTpAzxz+9jSX+H5n3FlABy2UB/ESV8QOM8dkmV6
Q5M7KhjGqonHCWvNTObB1vFI4/tbvztq88GZ3ciJL5qWLJG81v2pt05jn1w5g3UBFQH0YJe+Ks7s
d45+QRwB1U1Vv/FsgQqQ5x6OEjbHiX7oB/lzIckWGKYMv2fEAjMOZwhHhBOsadG0Ei51jfDNsPxo
8Thp0PdZRlVL0HTmBSr3GzUbN2XPit4oKrHj3L1wBJLMmdUcbOVux9KUWCaVFzSQwmd63uE2QSKK
mczFm7+tVapdR8lesibx9PgqqzNOgNklsHJvtDjRHXs84cnC8Vb3V4WRfsA3QJ6lgHSak1MVySeD
5JG8HE+6CjGxIHC68dtWig4gUh+JCN73cfLcW/197VRIEhd5Q1DjZFq3KDA96t7T3KgvCUBXp5M4
GYtoz+Jy2adD/sIbvI/X1t6iFtzEgCaPnAovelGNj8WCG6Rq0uNEiKnfYYDw5mJhUYO1jCXiUz3K
aCSzayHK16y2wUR1PVeC85wbFXGN8WNBTvi/Df2vki6D/vfPG/q7IX9tP3+/Y1l/6reG3voPeimW
XEgp0d2tXONvDf0ayUSPb3P3gRVy1kXKN36Z+R/2HZaFYkv+5tb9X0O/cgYNC8gIa5EViPYPBF3g
on5q6HnhlYLGe1BYsDjyT0vMKGxkMlCr4QTfFlJWMry0M4d7lvVwE8ackNl8NTkm3lyFl0lrC99Q
ROe15XguumpP5SC5HTFzEAkaWGYJQUPYaq0FBYKa3Mpy9oGeGwdttUZ/SwKRgVAvqwVxVSgThl10
9VU5yY9iMV/UTn9yGuZ9NrLdIMzZPTtI53PwBJtGxDEmeTho8DPdpE4fDLt8qefqfiQWF5xEV3uh
aT60Tb8vp/Kxd6THsMTcblpXmpZcjll80VfJS1fZlJDU2bjtIPxG9qbgD0NGnJhbVa0OiAKeySqZ
Nzrh0fxadMZNLna2I+5ntW43US8CXV96X02BrOqCkV4m2R8N61Pfzs2LrkexVC6ZZ0fGxsjsm/9n
77x240bWaP0q5wVoFIv58nSzc7eiZUu6ISxZYs6x+PTno3w840kbmPsBNmYDo2lLVjer/rDWtyhH
v9etdxMDT2bQizhdLNypYByv3Gp4pHd+ZWz8FNTyui2LVxMeKJyVBmkLEI59yzUcVh5jBnRwSfic
yW7YVJlb+Wxc4BpX5euoe3iZVOdTu5BCLY3ZVyaVL2KJZs1g6Ny16bE2g3MRZv4cU4Siat6KZjyG
nrcPpXWn5uEd1u6bkzefjTjElzo/5iElq3D4IXmTPNFYq3GkE5ICepycavvWHtoLbfV7RnYAommx
KwEqrfsGsXQu5FcztO7MTgU+qVWfzVC+99IeDipeXm71/dY0+sccXEfLcIT63N72XY8sp++SnW1n
T6WZpFtZ9VcysujIUrgFtU5bJkxtZc/pVgBxxHshdsQOsElKKzDVFe8agBQ0+Zbtfwxelj0IkLZ2
F7TVKQ6gyczkLLAABGRpjfOdk1mIM6xtX5v1mtYfInZKQJboJoqQuQUR1vOJs5xRI2udD7FqeQ9z
WRFr3Mz36Pv5roW7DYNhG4j+fnaNIyMHA4B3hi8QTJzPooPxRJ++duX0SIAvqiW7ehE6F0JRBuDx
AIWNIt7bNeqVUov2AjSzrzlI8IUodzYMGOLK+3UrNG/fRaNaGYP7BsLvjE1woARLqg2kbzIXFck3
tI6bMJ8AM1tI/mge+DQydTK6l7b3Krpd6nVzruabfLLlyWTC45NHhuY6+5hnpUy2mNM0w6b5mHfx
a2D2JTsnRBISEw1hf0zHYEMwKTO7iqmZ1xDtzV4ld25QmzFXU3Uc3Rj1FD4BNdm0GR+hlRmZwVWF
xCbp7H6NugxjXLiPHC+8j2qhrUMclbeEl4KdrmNjA2GQFReziNmfXLutD70jAvg98dSR+UCrDktX
sc4Ys9sSIWi9E4khH9NRCDDGRdVzzmSR7nPTvoqwh8ie2ooJPcXuIkcDMU0ICOQdJ/wsPnilMhhC
nJnGTEdbi9wOnlMrjsyLkAwNYbpMffWfAvrHdbnIhv75utxlb8XfUHmXF/28LaX+ybW409AFkbHz
Mcj+eVtK+Ykr0uR/eNkkkoXfb0tkDFyT3m+ShN9tdIgVDFfyZ/EPxP/4Kf7Nbcnt+qfb0jK5eIXN
n+nifF7+uD+oZKDGAufvXe9a5g1YGEufq13zEapiaEUkN1ZE2PUzK77m1viIYMmXNJaZWBY78c5N
4aV0V+lLyl5O0VsPsgu3yjRZxFRGNi0BNDPXl1Fv+sG7Zar7vsRlI0IkE7aXCBElrqeY0R4feugv
LhSYqdL2Wpy9WA3YIScpz2Ey3qYLOMbuGp/x6N4RRNExHYaPhM92gc3EUGcoVq4kA4NYcs2OC5im
F2qvFlRNoekvCeyaicjWQ+M6jxVUm7kZX2kfLkTiZDDuiZd58oAodgsMhx35G7AOP10wOckCzCEI
pL6e2SXi1inWctD3NXSdYcHsjAtwJzW0Bo0eEB5hkNfQF4SCteX8lQH7BdrHItME4NMsKB/JBD0y
AWUZfbhtFtwPHndnk0AA4qw6IelAEG4CByKJ7CmHFtQnCUOy8poweKyDeWBt8xa0ECi1A4kEDnNU
yDU6xidfjIveboESVQueiFFxvoYhh7NJ3eZWemihk64ILvmu8sFdiQVz1JQBWgTMQkaovhGqNMJW
098hdwDF6A9jp87JAk3CfY1q9gOktCCVygWupBbM0gRvaYa7lGvF+Mj7eeqs5zkn7x1MA5RF5FDJ
kRjc+3EBODVkM7U+/qA6AqxY9HR9cRoioM6yMoKFSMxEfTWFCz2idU0apCHaxa6LW4y8Ju8iyXk5
OmkJlIFW4cDvpRIbU8TVLgpc7z4AXeStM6VPKAZKpueDpcxd1VhmxsU3hTtdLZJjp2jk2cmy/qtb
2i5i3FQ8/rcO/FgHmqje/vk4vC8J4/mbdeDyql/OQyRYum47NmI5Fny/dw+ch2wCXcMxbQPpzvKl
n90DMiz+U6RYWIg/mIa/KrQEWiosIcaPiLN/tQ6kP/jzeeg4juvSqCxGMYkO8o/noenmSYNDX12T
Rt7cOGwA7mKmJo9lZsqjGtP0Semds3W7QVxGVQWrAXy3DzBn/uJ4I8NsUWY7nEkxO58y2Dha1/AZ
r6ONW4urLIs89EJ6cLYsjwOVvSO5KS4rjX5GbSHKatpr4GgmOeNH7aJur8Mzf2U/X+zQZQbga2lD
mqqdnvMoCo9lTRCnuUh1JMJgeDou2tBGffFkvY4y45sKcufY2wRrsT4aT0VaehtY5ERPd8SATpm4
To2e7NI4TVnDE1vFso7JBFv40jM66sZkXmgNSfJWsbAxb7uCJMd5DkGXVE/RFAYbZh5rVOxHQqM9
HBBFepBs3hCeOfIm1EO6AcUWxmi2ZlXcWmUtNrHotF1nhzNKtt44RpFwNuBpT7pWt4e4Mz1fRJG5
S7PC3AxSBntb56iCBkLNT+bqKiiH27lJwCuSmr3qNYI0NMvaJCnaKxl6V4kBKmhQ/Ha0Xovu4hGn
cB7r+nXbSuhKDnaLOmqPvUye68rhYMm6glGdDVUwxEUQ1nPH4Jw3DIhCw/g4FZiq9T08+pXSoDBO
1rADzkiHNffVt6EMk8vUmW9aCpexFgwBc1xN/gjOKU3Ce1xRt8T2GKt0mnZyyL7IZCQ2xGRztmpk
dj3U+k0p3S8ibB1gPARX0XhMksbAqbmUKr6PbbPnJP4yvLQteBmnyFkl6m+WVfbb1h7vhyiFGAIr
Y50KzvM8F9dO6KEiLHeUnedk8i7VKHaR3svNnBFFSSY56V7JlhX1dT5TwTPr2XomoTe4UC8WcBdy
ch9cYMM+jKKTHfR8pWfVIRu2Pzq0ish9xVO8Ky31UHv4mifyeVZEgeSAJaTKr+rUKlucxHb/it2E
xDmDkdU2KCdGWkXFU5HH6VmnRejJ4gHiUXmB4Tt6M51DW8aH/w7jj8NY54D858P4kFdvTfwt++sw
Z3ndz+NYx4K3WHI5XD9KUMrDn+Wpbn/SoT84VIYfXPlfjmPjk8kJLbDL8UIHCu3vx7EkhIIcR+gP
+OrY3fy749j4s2AWc6dpSSBqlqRGJZb7j8exE9VNMWm1ukwGioGtnpJnSSQCrIR3Mc+FhTmpEx1+
GIPt7rwvbVq+Ah1cQoNnm+ldIJm5ukiy9o0+ODSbtnwNBQPi0gu+AWa4T4M0v1EpH+J6tuXWsHRA
YKZoL6Vtv0cVAS1pLnP043BLWaWR9dfCCO/s0QFDrVvnmbnnQSuyDoMcO0e1nmz6xyQJyWXizsJ/
4Z3Zg6cnZE6F31aj2oKCqFZdDQsrA3qwhrGwYKyoXs1BHenUzm7ZBac8ztJtqnlMaKm+XdxoNuTV
FGns5DmRb3QYV2pcUWudNC+ytvGQ1G6PB9/UnjL8DpU9FUcn6j/rNoSsIGfezly/ojdV2lWT2K8c
UYhJye7iOU7e5yR5ZnjPI2wOen4YA8IXKzNRD+ysApbM0SUka/HQR8lbF87yCaMY+3z65u1gZ7Xv
tBnaQMor0gy9wjuhNdQ39ii0o1lN4mzFRbeL4S+Qft3b58ZxyOQIk3u8g4cxUp+1Cix+aRbmToBl
c2yWjzAjQPUL08bQhe9xTtmjmGKkiCdr46xHPVJS1UTW01CFCCeEkZ66gLt5BxVVUeXNTWM31xHv
3QCwN74oHZfbCnwZPTnaUzF6a9fTSCh0vRr1CKWldag6JT9rss/iA+fpfGyGwruO0STWBBK5LDg8
fgmAith1sGtIvfdB99KzRPahh/l8bw44W/z/Tq+P08v6n6fXZ6yYcaf+engtL/t5eC0Fo4m+Fv6L
KYmXYdz88/CSxidbYgzHXczx9lshCRnSsDEaO1gBGGB7HE+/Sf29T/x74DWcav8/9PZfjKFJsf1z
Icl+jAZe0KbTq3OM/fHkgno22XXd5jeFXpnmpZU9OWKqj0WO6lqNCCOnidqPyKXqtR7y57mcox3L
/XuTuRPS9hc1QN6oetT4yG/rChZM53Il96ZzJTq9xjbWZ1y6eGkZAw2+FSpccJVNeHUVwnQJ0vUw
RCCMg/K6Vd13bSkjLG/8TpJMuSGEe917lAusm08T4nJSAJPLsvtsRIl5j+HRFfyKgXaYr/GgfYdT
XbL5bV4G1m9MHdVOSPdFm/RtNHb6ypnCveN0V0yK2bSlUPGsenwaXe0h61S2TlL93rC6xxDD1o5s
PXdHyoZ9HRIljW6MZL/eSjGLqvAbNk0SaC2ytGjMbxlrXZcLAwom1z0shEVaEN9OUhxzYb2ZXb5j
BvCtNeOTufCkGrRNE4ApJoj8194+F81jT1VVTuD4iC58LEFTLVq8seSgNF6Bg702sr1u5virBc0q
pf73JbkmPkOdG40fdtVY4z5ndcWsD//uDJhmq9L4HtX0VV9pV/MHOkswsVcLTsuq3fyQ4BVFqIpy
axTmjWaN2Ym433CF8NwhbEA/JRF40GTBddVhdonqnk0aJC+71cAX1A28uO7olrDrhJdfV8r0INDV
7qGpCrkDPLZzF0hYE/cRmQGZC6cmavxkgYnZQ4B5eQGM6RlfdZTcN+H4JYBBRmzbjS36a1EWEBI0
r941UBgnTPHMiCnbKbBX0wI1M8cZrwecs1yzmnUjtWDHgxasR1KCBVS0aMGjTV3zkmjNnT1YNyP8
tDBxYK3LZEfC3UNOSoG3NOHpbD90DMhFHn5pIaHQEmL1nHFTWz2gtmFBtrn9/Ij4BaKgJKbPqb5q
C94ta8cHzQP4xkszylYgcMZCg9Ok2iA3R1Oul+95q+XruKwupvKuU5NNRIceb+WCmeunYdxMC3nO
GfOQZ6Vx/aSM5ToAUIdIEwsNSSvfuqBKfNGScWYsRDsjTb72ZKdl8YPRYWt3F/YdzxoxHtDwiH3o
dgVxgozam2o/6QSeGKU4kdgHEJB4tDwBUM6M6BbrRrRRRT37Dvg9nMUFvcOE9MFY2HxA+gJgfem0
yFcMcW8aR029p4INkgbgj9TBjbEQ/zCOb1x8QpiX3oGOkNvkmO/NLJ48eIFizK4qzA+L2WlltVq0
sfE4QCqt7yJSwzNzERapg1vOuDLQJHEzASacMGy4rbluXPUu2+YZYvJpLLvbDKZhN7Ch4J72Z4Tf
mAemNdIWuNALCjHpU7HqFzxi03XvFWOlVTYR5JNNzre4bp7Z/Qm4gcBp5QJanEbXZiW+8BAtzcVG
az5y6tZoUBocqbAaO/i9K51a3+dAPrUL0DFsWaJE83DsFtgjTKE7O5q+JQsGslqAkF3dZpsqBBLZ
mvXeJlwebSLKu2i676waElNSbLKJaq9OY7kpCqvhoSt5JFybLEDSrsspuCqXEE2zD6a1A4k7IHe8
rLx7LzD3xqTctQ1uc+lIEEkixAz1eht2bvbYjGQzByCFNMG8kmUBD7aVfIU3Q+80jOmWY9UkUi96
mYrSXrGp2Q5jceRAv1NmCdwUgoPPBXCLrB+pO5SjAb30LhLQEQf0DSsLElPgFscosE2s0Nm5jYbb
mKwilEOsFWODkBkmbhsWXrx2GO4twjf3c9G/tCWId69qgMgXMsIHUbN9mLV30uC4L6Im3lHk3Baq
fMF7DlAzc9w1LmOyTSfGbgisiisBqp4pIK5FUlvAQEJ6zNWESUxizI1cofslZ7ZVFWKb0Lxvqfle
CCj8Sr9nrskM2ZKkyKyStxyCAzHoIyAyyEMi3ILc4Hc6xPYBJtbeC80cIAW5QkZp0bmbw0Ok2Opz
J667hO49tsAbWo4FGUwjwqB3CW4C88YnNhvic6XNo08ixEVp4G6CERtOKEZwvKn9YHUgiAv13Sqt
mySs3qbFiNWayaMNqBbbkcZHry/OOnKeK8CXF+5/XBVA4YVO0kBWNWtTSSRxrigf6yzJDu1cPxiS
Bz8rjK+aMq+7uPs+1tnWC5IHLntxiglRQVHhHdo4vHbi+jPJQHtDIwPbiQZCqfuyXylz3AcW2zOm
7KtyMGEyNADApOO8ImfSfCz74bouq5kFpnuns87bWFZkIiOaCjJrAMyR/RgcRKO+2Rofhi4a5DZN
XYIbIfm6gXbEJ/6tSRw/TDW68KTalXXJ653qhnQsnSkO8CxNBwiRTMBhu/iJYSnbpNq+Eb39pTTt
XVBl034OjfdEjA5nLNB/SW2/caeC6E+yhPCqtOkKYSYfv0QnjDVWuKZm/ckmuwMWFxiSijeWpILW
j9Bf+4mjRri4yTfU75c0HqN1hyxsDR7kFA+gG8yu2akZckhvWMm6F+k+CZH/ETHKfdcB/Kglkq0y
aYCceO73KNSgyrqgxwbdECRZAqIr0aKWeCA5Ve2vOYZiItRBfOS19jlqxgeY1mixYm9djhnwf9TZ
Ye+SedmWtS/hUXS2U28CCBV9CKoiF0Qbw64IwYCsjRacRY7mDeUJz5MB62IKtcyX0C80KiceSIAY
I2SMCkIGCcc89iAzBOyM2hYj8WTx21gNqMjsd1tonzUD3IazgDdSL313Wmz4MpOvA2wOj5scPZf1
2g7Ojtat8Qs4HkFhFL63oD0mO/0a5nm7xp4m126PI0HLWc2+CKggFAYmAFbw+nqfHCurgZ3LOPxK
xuUhWLAiLnyREMzgKh+Tz3qDdaeCQeLkoIolVBIT0dxEzYWCf6YZrcpiUy8QE2Ux7CHHlr/Ogjhx
F9hJCfXEhX7iugp70AJE4bl7Z3gKh3aBpeA53AroKRVGSRxz+i0poA08FuNi2HG3KayEsIC0uod+
i2zR0Q3Ky4lzuiku0wJraaC26G73miwYFx2eS72AXfJePMxouCeVfZYL+mWEAVM64mVYmNHuWLCr
XUAxJcSYCnJMsSBkhEIa5C1Ymc5O3jxq42jAwlpBnplzFIkLiiZs5oOETRMTuEuQ00O1cGtaqjwn
5eiLFqZNRGjcjlxIfkiAN+jk3+2FgOOUE/nG1HwLHycGlAPt8BAAzonS4lvgpi9J11+bgHXyhbDD
3nqLIoyb0qj3aoHwAOOZLMZsAXieCUxPZXqQYzXGhslNt2B8Fp6PMqJNBOAnboZzQ+PbAzrJLDHI
Y5sg1ao/wEBZMduP6gMXVGvWkN5mVkeQhMJS2FuVdvyvB/0xQaMp++cJ2ikuwvavHajOi352oAie
AFFZ3KYUKzqwyl86UPHJYGNhGwQE/KEHNexP2DqXHQPxBPZHrupvPShprIAkMCkxjnOo3P7Vctf5
yy7DW/YoEFKZkthYr/7MnQoM1D6g8K+IVDOaByQRWY6YUOU6taWGrMBlJxlfWjc1HqsfwgMkCAKW
tfchSmg+BArdh1iBjxbChbxsEOP8kDNwWxubtg2OBPmgrwLGPKe3JSamCjMT7s5nCsQOcI5xpWxQ
+ObifJohduNXjV4gmXMQLf4oCsOIlD76NqxTPJ/pOpep8kdsVZEePFYfRquSTQTp0x8GrJSss3W+
uLIGq8GTQWCcQ21d9qorLqamSBrBQxybcYD5NhtJ2oOgGpAL8CLJlAsJwVl3NpWOXhXbdoKAVOac
dom2JyC7W01N8SKMJtlluGV9FL8Pcai9yktVqAtgcn/C5AZ+CT1UkAWf9dq9zcEve3Dik/lW7+yH
cWi/2m64ARHOxvK/B/HHg8iI5p8fxPO39O1vnkNe8/M5ZBJkwF1DZ0HuB7s7hjG/TIJ4LnmgAPgu
CAe+9HOriFoRtBw1u8MXxcec6Kcm0f1kQ2sD5OjoPDn/EjL3N5mqyxnA00i1DB/Z+zOwkQEutUtd
WNfpkIUnLczr4H6aSIjY0wOlu9EkEkw5GL9ryEm4arOD2eBqslhv7dOA+zpXEnTJKBgHJxkJmtPS
XJmOBVkNzbxrca+NCUqvNCyOmpdYF2cGasqGb2vnWOHB9Gy92X2zkoEGTGFQpPeZ0QZE4amYxlNS
ZFvNHaIVUcv9XTe0zD8n+zmbyGhok8jbjGjUM1HuZ1BSowzvar0gp9BWM31NMqyLvNl3s35FZ/qG
X/E2NtzrmYkFZJ57LG87rWwftdCtTkVQnuoIwnBkxgfdGx8zwsdcLbrPpfUQxu60YgtAikhqVPd6
Gz7hyjgYbrVJRPCEteZbH5GWqAaiEdNuGIEKQySOTeI1DJrGpkHe7pTeqTaAiaWNREuRXdXIydHv
h5c6N781UXfdwQvo+EVTP5AnW9JDqKA65k7qrPOSFCzPXfasSKkl0oqZRMhUArWrDN03HHWcA+3R
baJbNZrwmruEIrJA2+20M6cAx6C72J70gGptLPdMc55SEqfTEouJZTTzNlSko4VV9ErkY7NWlW75
ha52sDWOGYP+Xe7Kq6IyIfR3WeTHTfOlCiJzYzTvPdq5vZ3aHjEArGpDNIF4C961ieYUuuF1nfX1
ao5R5wxO/dltXDyXXraHh0FB1u69AXGfOZRrgjqctRUWjHtEqJ5VMR/d0PzuWK2xSYbEg4MxP5lN
dcT3+TyJ+bYGFsVk+2mssAI1XfQOgxrb3ZjiU2+Tq9xR+7QlmaMx9RbK1vg2udTftB1Ug1W4TWT/
qijLV0yRts6Qviqp8/WkWegItFEvA0PU80TnsxR9qDQ6EIrkmyzaDf7+eCDVMksi2RJxx4BKieAE
10Ezm3Ma+EI6gNHqgBeny298RlCyigPAo0UXk5WBIWYVpBo5v1UU7dUgrmcehlvlJs4OnSvWdrO1
GFjIo2EkxhrLyMqoeQ26Uu06CdncOpMoN0TUsni3alrbVFeITox4OkCJs5j4lfHRdad55wzWuMG6
09Hl0muLYdiO+HtcEV5jyQJyJfWL0ROwQHbjLbqr0G+z5Kq2q3gl9a+ja6n7RtfSp4JoRYS12N4N
1gl60FQbt+MD2dgG+TZuuBpMaBxTUZEBS1IbGWIunxtJ4JVTgFHWx364wkoI47gEK6OpSyrxsXnw
7Xr2OEtWhgCb2L40vbbTcbeuBtJfC7s3VqblHkkXsY56SHpDWSX6YmJpnqVTM6TAebzpwwHF5XJR
FpGDwylvqq1WZZhju1m81rp8TPI82HoElCEpHd0dvSynUooutcwZILdkP5J/XtO3yOX9Dex8NZvB
iUngLkNBHPNErUf46gnDX9ShM/4Ri2zl8qQrYxfnQbcpPZwPydxclvn+esL4wZnR8w7NOO/adIsp
W23zIr+NrNhEGovIF4voyQ3pbMZK7GIrfcIYs+u19n5OmTNnGYSNCDBzoaeXtm8Y8PZ5tMZURndc
7e2+fQ+NIPItLg8fYgYPLEpleXGn/HPeJtmZudhNwW+UDRbshryEQBMCZLGS7iulz3Y0q1MfuG9T
KXVof/mxS0e6Jn3aOTgc/6sQPiqE5Ur/5wrhLiZ4vY2//02ZsLzwZ5mwbLvZxEhz2Rsu2V+/VQm6
8wlFknSRafLtKAZ+rxJMMliBDMN3sz3W3vBmfyvX2YNLJnXoJ/Wljsfv8C9WRh7f/g8kAhSgNrQ6
ig2b3RXA3D9ujCIJFX7oDXlhGIc05awxBuNY80zR5uS7ICDHliSN1I/sgDFNPELH0ZVi/qu62Lp2
M5Fd9yXLzDGftINlFcalR0fvM60oTnng5ffgZ8brfjKrM8u38rVD+3+U+Zjeg8JsTmaZeMW6m5y3
QMbmvjTdYKsnjYXRGa3jc7RUNiQSY1Nrxmpletkulfroz1lh0ZTbXEVGPN/J1kbe7aFXBMXBDB23
CPYkG3imTIhCFgkj+8hJb/K8Dz7LxCNvlWcquheJlYbtLnP0ej7MVUT50uCPxlBHBAK7gZXZM2Tg
sML1wcSFYM5SfaMWHG6bBua8WJWNNP1gtgdxZdtVssmtuE4etATEE8CE1HFYdiA5YQZnqHxlDap+
TlnoH8wBBt0spfSduUNcpY5uV5FvW1jMdYbGs04DvtVvAeFJkjhXeDY0XCRCavVgY4mOC8PYKeCp
B4U1w/PL2bwj3Q1HvhwsZqdO8toh3z5WNi6Ei5Vg53BrNx7u5sSFl0U4C51/xAdzvORepgpt99+J
8KNn+J9axPO3tn37G222/osWke598SnZBF1ILt8/7I9ZFC//2kXdwqNPI/6za/gRLrggTQS6bc4K
zpefXYP3yRFkFLKQ4YsfkYT/4jxgU/2nAwFaPD8Y/5SCDTeS7z8eCEPvTRp9+Xit6IadTTQECexV
BzdiqOIIm2Rw6uY0NDYqGYb0C3mhiI514cbdoZrjJSYcZ8m5BfE5bxJEZTMYs6ooAXEVhm29TohY
mE6xPJg3jPApesKp2U+2HnrvP+K6VNsyWetixwz8gMR1z8+qcrQJK9ECbd7UdiiZHjbpiL93LnVc
0s5HFFguGbJtTEdHc70YS/2uT8kN+4gQa4bQtB4yHTzbFiTTIZY6JUhhm92+IlhpPxlElb2Phjtt
w8TFYxiGCQ8oiDyxJ0wNWV/gZi8xcm3fIzcCVV6lho2WNTaCHIbbXoSWR+QaamWr4WCyWrBocw67
VSiG5FYdmjtLRe/2qCGWK9x3eh9z1eUhmcgVXyMPAZH10ONsJK/qFIX4lt2lzArjXK7Q+RDI0GgM
CRxm8BLFMggRxCKrRmCC7hf5EIG/Yu82Jp1JgGVRx/eBxacMj1WjZTemyiKWZ7q3I5fvLXVma2dk
pCgj2DZ3LEnjjSCenUaOjHnT6rObVDCkZkeD4IvtUV7X48bVQLeFrvEWYbTcMwXhY7GEGeehCRim
DDG62doL4sFwb89Zv6beZt1E5LQzBsRaE6m4cnJaQX9sMKdlnWTaWebtEXAhUlItSi78zOTGlXZ5
TEcUnqTIsrawKAKdUd16XoDNyCvzTbuQ6oDXYMZvTHc19gEe1rnhx3SNx6xICamrSY1uGtaDrGyw
eZJxwbh5qImPNZIdbJz6FoQzqp5wBOnC0HM1K73Ga63AK7elzLaz8KZNO5QgNcyp2ky602O5hmgV
TEW61zPMsHWQ5Pv/js0fx+b/5Gyey/b//N8ifMve/m7y+Stpk4KJUQuDCflnrJPufvJM07XMH5n1
+u9np2F+Qgqz1DgMEGlLfq2l5CcHWynHqgXOB96m/W9qqb+UUgtmcxkELXlTMGGWr//Cfk1chwak
8JKrPt/MlgPTcGfWX3+pMG9+kGR/DRWBFvyn8xmK6CJMxAJLTUlbxK/n1+9Sk11MUqSVXHVlEmd+
6Qry0z18I+uAkPhNYrTNuqTbJZzKLeAVRMk6m4PTwEDiTlTRbRbD2rOi+DwKwTRF1yyMZ4h6Mj0W
axFGh1Hmh36ILvHAsqDXz2IebwncvNRzeZoa4zpuwqNIUix8A9vchE3u1lmOF/JOFKMc7zvBPSP8
cnYOCfGJdDr9O7ZNEmkLVMUrclEAjwa8fnKA1CnccfZx1OZ8F4yT43caadyJJ9ks9jO3RkpqHHoQ
80tgeM4Oq6HxLHPAVBpE3F0s0sjeRH1dEeCo6vRrSRoTCwkISvvQA4Ry0A3c7fSa7pWtWkXzA8sF
94iLDbYzKsP9MsuajPFaZrtGm21rp6NUn2vAply6NXuNHPflSgBQvSYPS7vw51d+G7OSWvjkpVbs
XPov3+6ZUniRBPzjuPHeyMz02OPvdG/4fq3xbKnQaU9SlUPJNWrclU5jTTeRjp0Ip6538hrbOcKw
D5+o+s2vg0Miu5sp1H1d0ZsIKhiorKXEbbl3uZGJXh1b74HkVIhbhUlQfI+cX1ZTtM56CFF1GKrD
IC12pX2PmITf+Zm1e/utZfQ2KZzvCsHSyquJVgUmv3FwR65C2KF3BBIcE0Eeplfq3l0IWXVFawte
QaGaKascLENq+qRr+04df3VzMnt56wbfJvdx0yDEZjRHpz9lU3y0QYpuHIYIu67L9HWB4uEKjYEk
valud7Yx7EezAJ0/yfY2pO3nhskvcZFdAK0U27yJb83SOrg4of3AzvZlDIszNMRN6433ne4MDwDV
3XdSHJgWpr49TvZ7Gfe+lbd+GtT6Z6H129DugHmW6cZjjZm69PATs4zWrr63bfdWxM2bStQXBvGk
Xg1Hb8q3HCBoceedOYmLcgff8DBEWPI8U/9jVX0RVs9QT9tmo879Q7/Qq1c8Rdxbr7hXdRzFmcEt
DnIwtYYny45fstk2N+yz2yPzHEr4cT7LXB6MUF7sqvfHPn2qePvazqDLd51NMNhbUJL7XsxPU9Di
RYX1ir98ZcB4WultIQ5Y5hJfV4wHHOeGv+MdZmBcqMQwMr0LYLUMuDgj04ZOEcjbLivay1h3p1BO
fJgBL2U1whziH/mU5URx8hCJ0gHpRUoudCi3Ms5kG3/VcCWklnPfy/C2qKszrcp6kN4574fbyGN2
KKuNpEWhWppWKOHIaY/GCvdyWa7DRlylWvpcpvpzlebHuE1PZeYek16/nUfdzwDblFl2sUy29Fmt
TrPjUItRJLhgmurU2ffEBXsNc6oIdy8WFMRpszrUc1EcAY19z1XgrLSowFsfwt4kqjbd1R5xwC25
ALPS6u3/PnmxB/z15AX+ByJQMFE3+P8/nryR0iHI2ll8Vdap3AyZpyD2q9QnJy47d7kx+s4AdamM
cqqm+U2v6va2rlPx2Z1dRJPTdIev+yymwE8956uYul0d2e8Fjg2/qoinAHMLlViJbTnzmc6ABZSB
1a5HCtKVWQ+0im63B43yAi6uX8dJ+0UiVd+AycfGK8isyIr1WK/b6aBXhD93QbGjk95J+KiZRN6Y
O99Vlt+TlnLswQbNbXase0xpVXl2W+ntulFBwlDxXk6RtSa6DNMGSI3ITHYhWwu/Fe2dqXqW/pF9
FJHHc22EguQUBBpJMz0k8WCuPJuBsFTy2iQIFj0D3eoUp5ehQtpJu5qO1s4i1sGPs/oQFKmH4gaH
NXKKLY6ijRVW5yyE0OQU8jrOxlPW53vuNRC3FcSzUrVbNBrXaZLdMVRhKFnAVrALLV4bFcVe09wg
Wxr8nJ079V/yYCoTbfj0/9g7r+W4rbSLvsq8AFw4CAfAbefIZg66QZEShZwznv5fR/o9pmRbU773
jUtTGopsNvqE/e29dvTqgWGLeh6mkQfURRJPkkoRqraixBpriRd8AKvMBOrqWTu6zs8Uln8pPOek
VzBlAk/74gs5wwVQph6Cj0ma0fpWqrWsPUWOfDb0dKPrEwZSxNQpM8QybqZkbYXBxZy5khNrVQBC
HFRArrrHAnPSkdlffU45ye5//agql+8fEHo1QHIlDRdALmGeuZaqOPp4RECmHMaae8mVDwzAjA+1
0S1+/R1+HPLyT5oO10SmIqSMkaLET6qRKUlBuF4QXKUypmDwEnXRLipv6yHmSUiXkaw2Xrz+9ffk
AvrD6/rzd1Wv+8MBqyupbLZMTTvrU35HgIPxFX9gV3zmdjctQga5WMnsJ0SPfd8BxuxH8qNpPijS
VlQs83p+LjTnROBLX+KK2aTeIN7c0HJWmR4/SDcbMDVNRye1XqRP87NISRPxNOUFlexOvnZLDY2m
pD4Dd9W070bHfCtyCvAYa5mk4aPPKc/qutJluGIFnlatK/UlV+q7zkpnpP/kAS3b2GcBHUzYo5GJ
d2xK901db2QzUFxoxztTDzVGT5xQ0iHPcS11+rKCWIYAplSxaLw1wpxYRQRg3Qwk9moKU5r+a9Xg
mWzKaF9bVPwN1v040+WiJwe7hZNQq8Rr5Ju4oltc3bKz98kcH5kVrfLJN1ZmqutsMAmrrP7U69ha
ozg7u+G4zeth3fszT7C+TtogW4bcrYs4cxclatKqTv1zCUiQ/OxOFHIG2THehRJi11hq912LAdw0
W305O+1WK8F3iq54lUF1rvXspioJa7dju2jEAR1S4/ps0gftsiIK8ZBP4W70Qd31dXdVSvZI4Jx7
7nXv5Bq7pQ8nvbKtbVBaJ2f4/361v61W+NbC9cen6M9PmzqIf3jaBsrDegNj7Tk+5deY2zfVsXqk
ZXNPt+jJZetZfjaGBWOLc/5pOP76WTeUyvLnb45PAYuH4QhPfQA/fHNRhm6eYLU6lyt7kZ+MZbnp
iFsftSdnQ+ncw0Vbnp76NZiQ/pX/pFfTSV8coo1/ZeK++h8/zY8b3/ffhKlzvCSTpaRi9bn88MNM
+sDUS8ThVahfE7CHaflU99+vvn/76/5xzfrz90Dg+vg95jojOBmmIZvre1DTU3rz69/oX74Ghym4
41r0nJs/vZvkImbGchWbt3ZdeXwebM6c31eof2syVGXE389Bzq9f3uvXv/BK8FX/HYJQd8GCbFvC
sOnEVKrjf70S+m/E7bi7c2ND8Jb81e9eCec3gtGeyztmktD+Fs7+XfUE7aQ8Ei5fYAquwf+okM+S
6vH64/OmOjIsvFE2OgHbp+6qH+Lj46fpYmqMVgQXJhZcZ7Gatw3psBSQId24T2RT8fO1HuSf6eAo
5mGeBWzdnTLzvluKijh4NisjTCfUpuNI0m8xE27Jwx51FHe+Wq8XreIsugAX6XiAbhB53tqKys+i
IxDQut1V2+HNFv2LBNsowDfaiuMYBeEn6aUrjcvDI1u5vss5vQXZ4C8dXzl7W1FsOtCQhWJEBsJ4
AbRLYbDiR+LzRm/TpLUh9f21H5p3M7UhtynupFvE5ABBURZJeAOX83XWh0dN8TQ8Ra0sbG50CSBL
WxEtO8hxgFUp5Gic4s0FexmCvyR1DLpy4CV2io3ZlOJaA5YZp3QjA88k+4BDqabduAGsacfxtZ6b
4yKK0nY5KPpmyuliKy2wQ30zfAYD2SxT0UWLJHSR4EIb95Ue3/cgPXFekU/SCTw2Zuqchsy7awCA
Zpm4afKh3sQpUF0NSGgILDRsx2NZwNN1BgV8AigaCEBHQcHUFpdUsSg6Gyxg1LikivX5AQJ1vvMK
u4Ni78QYJWCWknyMN9DovyAPT4egD2kUznWm54p2ahIxIhZgnmQFCNVyS4a3vn8zKUpqSM/dZgrY
Tb008xaBoqnmiqtaSG1bqB60yOEQW32a9BL+YmAqNTzkcho4cP4AtUKKqPYWGFXYrT4E2IryN8V1
5Vz8ufVCQLKK+Zoq+muqOLAjQNjUGYAX1eWZWDzYQEWNBZWNdR6OrA5QNvJFu+4VY9YwqlsufiEh
kX5cxYpE63a49fQGOm1NjnoZdPPnrtZNsEgdx3NFs40V17ZThNtIsW7nyT1jx/BW7ijf65JWgdoT
V/nQ5kuz5VHmTjeugj6CvRqgSwlN3uWgdXvF2I24Q8EMcNJd24xUzAUD7dgweX1ufZDacuaIUIpw
FOGyUAzfynOuIRHgxrZSawdu5MWLjTduO1tHEYCNsTlrmQY7VnPpkAMTPIMLptSDyt/BqSjuaDx5
g7Omxe47o6lxQLe5sY414zhzAJYcPo0Bn3mDKD/iSadjiRo3k9ma14R4XkiON2AqI0YKDb0PlT09
jty3uRkxuh8JaLkDo8mioJ46SQrYHt2wHVIsilGBe6TGHCXCQB7rCvG5cimUgKx4Pxf+pZYleSGv
WXVF/jVqqzvDDPe54R4hM9zMbXycSeYZXJxDLTzrMW6fYkLUtlLkoKy2bvWCnJzg391UZLtcE9WH
y+CewkNjjfb2MnjBrhmsIwOCrxJ2RJPgcy6gnhd+Nh0KbXo11CGvUjiwiggWuZ1eHqK53bhjMEJ/
j522fcqDqi82Y1haMy2RdXFnDl3zyFV2QJkwYD1KvenrnRm59qcgKexD25RpcE0zSeDu20qzPvmE
6/1zTB32NvMSKuI9/0mgTKztkZwGudh07fO87CyyAzTEYKcYeO7Wdsmln6fwpbO63UwaeoFMuAvl
7JMLxOYwRAFJiMK/cef5MuZdu6Rca15icrtOZcAxm5Q5lvqI5SlJDRwk8degdm5qiZ1MG6hmiZpy
RwVpunRK5xaNBz2hf6xs0Jh8ireuXz/OXkc+W5+vPYJ+XTLZy7LUX8XIOk6a7RJjOBWDSJdt6ze7
KtUinjX/MiW6sZxaqlY1yrkWOdOiZJ8rPGpj5q9O0YdEybp66cBQjZL4zYCpWsTj2whjNa+Y885Q
V30L/Cp6XIKTJrnXx1OObpglOxXFzOctt62t1ruXQMFce6iuErorpWZcqE0aDeG+Cg5sC6FQsKmC
wjrZQGENU+1QAWNrhY7NFUQWCDfV4Ua0hqv2jXe3NXtdLLOBuYcBhTaKbaZvtXPyyWgWClRbKWQt
Ucr7KjSurBCYrR2AcK5r8LZwbhNZXBdwbzWIo8tCl0+x23+OB9C4w5geBwXL5U529KkpJbTITCa6
TAqra8DXLRVot4vLTeTpkH5dcOKgeOH1BgQ7CrHo8BzmZmQu6dphyp/CP3HuHA9QnIDrK3uv3gwK
9Wu67TFW8F/MdZL/44jXvz5YChDcRSE+LZjBtOayPuPqS3oQ61p0ByDqteqcvcFUKAE/1AMfTkze
ah2uUt3BJXYAFGcieI/B/dmAiwuNv/VBGRNh+1KCNs6McPvtGPXveVLdtX51niSH/RfHSb7o9+Pk
N+stHnhEDsZBWPc+HCdNTpqQxSQ4UKHs8X8cJykFMQCEMiUH1MmchkPg78dJ5zfVxmwxIULRsBRf
9B8M0fHR/nycxGbPlB/Tj/op+Ad/PE66zJoAgevzxczCx8rkvJMiVcDArdAP5mzjVnIreIjsSUOk
8B7pt8S711GiSlbmPnZpJyrafRbH66p3/WblOJQ6rCPU1Ye08MS6MPSbQMvrfctCCIU+jbU3A5cX
M21h9uHR8ftspBxXh+SSOvGuadnzsi7ubnQcfCCI5d2QqLs6vQr0vTEJzc1VGZJxqcbifpq0R8o5
H4jMdQvdYE2Gc7mX2kQ1lHug02gFqP9zPZM8TvJhEcT6bRkb1ywLj0bf5Kuw5ZPlt0r1q2ln9vOv
U037TUhXnG/hQIQIaHK2HS9tLV6JvlH11Zu0pxfhl2rI5lWrI2F7o7sO9BbQdxGKTeJIxy/hUk/7
gRTbEq/jUXTOxaRCrRPhce6cpS5IOvcZJExh9Me6L59C3XvRLAf0dGreJEWzbu3sMYlmbI3x/NDW
w6bvRHklfBW/Kr4axA77Orr1OnUipUWMuNVeZNNj0nRH0Ktf9Zojqa5NztIwzQ67JkY+TUvahZkm
u6rRaAcO5RL4s7HyDRQKm2v8xcArwGS5Qo5qKWULC0hFivlWxAxdMvwBazdJ5mU+UtwkdedzOAWH
3MSe2/pw4GhOWeauwYpl7rquvvgphAoTbYkEd12VeBhkl21bm5bkBXD1vdnWy6axz+0I6sMsDGMZ
5v3G0v23hKhbko60c3Qc/PLxNZAFxR7sRUXqIcZTqjUQXKIiXHvVa3rJ654mDZEgLmOwhlbinjG2
92tXp6PD6EJJ3Z5JAXFe34UNox2jzTBMGgHTJYf6vLnudoQSZ6jsqcU25KxcTutbtFrSnDz/Vx2D
SEez9iCYHhnQ7vTOeBx6orZB2OirtjEEWoYRnzCPcLzzpFiHNvxJv6dgJB9hytPN7WOCEvpVOZrG
DX3ZnE+TfutZJfpXcMiSxoe+Z7wia9hYc6fo4pAvpeDQ2kxuRjSxGRiiROnSHvK3qSk2Rh89FwFk
P4+G4IBWvGWcTinpKnDyY/Z9df9bxeMnRcKGtchqY6NFkL1RU+gf14jSHAH5aZ64pNlDYn0hoPs/
heC/+BYet21SCqyRlAn8JHpMZTA2OMisS9K8dcn1VN7n3unfPeqbZcFmTf/7Peq+I+KX5e9/3qbU
1/2+TeH1ok1JwJYjCuIaOn/1QfWQbDMqdgVNBJn+4zaF3qFSG4ZUpGuDd/WPbQq1w0AJ8fCFQvb8
R6qHtP/i+dB1iRwG2xMjqXKVfVQ9BGalTCuy7EKz2gF+nrLq40sHaDvn1L/37JWL2E/PVgkWyDYt
PqOUtgByDzttz6az8gbjJhdU+5jiMDTla9LRT9goRH17HmdxCpimzCHerYSGl2XoBC/NlN70vp+s
ZZYxlZHUESpMvk9z8nIGRnvMphTHU8LF3c3a/Kkww2NHPwVHv+zaDfFAewSMF7OjLWsveUOb2Ji+
uA7H4lLWJFNKL34eBMtYkcuLS0Yfni/DsEQM0aWTxRfqOcl7jzBKZspQllGfCHZh99S2zt70s3sg
CO+TNZ+pU3xL/eZ+mDh6I2hsC9kdJXXcZKrlxS6cQ9qmsHlC+4GJxGou2k8D5jJuQz0sS7Lfg+de
W159TLOCu0JyFQ/xptSEj6dgiLhdpdpC1NqTh5kdzk+50u34FNYUkcwlej5XpX2uilgzOkw2oeSG
qlFNPwKytvvuZHVULZXVDWUWm4w09OSIi2N7m84cb4GPksrGT2ayu5oCT3mqPfeW/0TT7EZ2UCi8
foC4l2Zv0dQ9lBqdQBkl6QsxxlcTntpFlXBOQHhfNYnMHitrj3fCVfVOXB7MyqEfSHc3/sB+nNly
WE5df0dD/Jo/RxuyFemqrfLHjh/Dh9u3TCKy1NZAU0/EKK12BReD6ci9kllRTMtsrNOXVEwuN2+c
EZFbHIfB/2JVKDaRlPdWIW81QLZLrZUnL4My3tlOSMgDoSqqw1vN9veY3q2TXYBIGKv43vVz8g9c
x/zsJguTL+xQj4EHn5UwFvl9XtSu9AX7AKY+MDZjsHQMIFxWizTl+EsA7smmxEgwezSSz8lWt/pd
YpjpOu/GaW003btr2+XKkqr6yCmfcbGtPVGmp9Dmt12lRGOCAmRiPopmgR1nXGhkZhbzSJJZCq88
z1P9UM1wwsoOMIJOUhnpTrDFuO4q6/IOr19x1IsxPYks2VDg+hxJ54SIess9EI5t5NH2JeaZpi9A
DLnPOcabiCYXpvGpzKs7t+eNt8lbTfZ8pXf+F7/XyBH19q1Xurfd4FNelqNM+P7eIY6ysHnoF+RG
NyOD6mUtIPQYQUL36ECAJq5qkuXz9BqYc7ME+gEpgd/ootVq/AzaSk/kWkwoayLNogvO1200G9l6
Sm5xQ4qQ4sQ+mF+1ZHpte9qpx/4+ScWqG93rxDAo5gpmgA4GZxMz0h4nF9xNm2I7RYgIvykSUQWO
XakUnc3JIke44H2dDgRo1gVy2SLB/IV90HpXUlCqa+eR7OU6cqd8jezzSrPlbipbe1lI1TLiRNSZ
DOBrpxpWglFxL3YYD1YNpgjfCECzm9Awhh5HwYAqCw9TfDVSeOWTnRL/og+Es6R2Czznvcl4JCyZ
RQTEnYeyrq4a6r9xZ1rvCAUXh76RJgZpQd2stYZCb2ykoBBJn+uTL+At5hbvNr/xY5Xzoonl9cuu
zV+sLC02QE2oE41cskc9ufp0CnY+vSQ77EevlYyKrcfSCAZhU5kdh+HQOs9teGlSxEQuPhAnI/Nu
iDPO5lZxXTU6Kqx1X86slYW4E0Fl0JDsgtosnNcAAGUpw4PBi1sNEYKurXcPmpzFEmtHtU6JZzEt
4aHmOPWCufelbsG9NFawC1KN85/o1hkLHDprd1e6KAJ1wvtrasXKVajkgS4c+lIh9zAYnljli9C7
sNBtgyrMFobV3E/+8JgY7VNdueYqTbony5v1nTBwiei6wdm+iftV5OJJIJlAhUpQYR8V5r5u4rtc
mtu57GDnJ2TFElwtFHBu7NSLAa3hBDVLiTnOeOzlzdAQo3segDaF5g3wH4RA+Qjd4CEyM94aWHEy
L66MkqBvmYoG2LN8Fyz0azF61/BE+Ghz4NxpNoF9R87ROnUiAhGWtSq84YTuddt7xs4ZU5bfaFrj
KL2jHewYFuSJoqB7wgkFa6JqD1V7hYl/0doo3YETYM41oxXXumhrVDVFWXX0JDBNkRBi8qix/M9a
ffYmR0Pr6ajba8d4MTOdZ9gL/oSuxfVQBgcShBpnbRc4qygCuDcTqY4dNp53OhPD85C32A/ALNjO
U1xkw7bGYR0t2mqmPBUozDKkAwVtDYBx4LbMsumWYv06+O3sXYRZFxd91maqmlprjz3tCges6752
1jRt5xEqINRCrCi9Es2rYJPZ4mwwq2U1OkiMLIwyDVJ84Iq02jIfI6dkhehxNVMOt4N+cGVZDR3k
of5uTvq7PwVvbDmIpeFIPRvMEtcBhqHz0vkZ4ZAWq2RMP+MrgYoUIJPqhDwg+LA8BPI5HLOeawFu
kgGgaiUaEK3GvJE9LhHXkceAX3b51uoHYflKCt9p2mBcoQpdzHL0sR1nYpmk+gO/fnZxkb6XY3zo
jcDZlNV4UzdyG7tNs7JNJ9/QuUGfQa2X+Fkwl4hqeM7bEdxSemfTXylT+yHzKnD+MdCeOdkPltzU
UXrd8zkBXTRuRFveO4X1mcX1uoVTukxDHgH8E7dCqzHclYKcLsRSTzRX3ywkzix2uWwx78XZxcH3
iY0r7NaRl0zremx5HgYKKhBKacySzTobcWbSadcsosJ4nRugUCTetg4cCvRBecUh95kE62l0UodM
urYWEbrB4L6wtcATMm5RmI98cneOga2P+pCHcqYjBOfpmXTuvZvQneUj6KXFk12K58FP2CNy56kx
xnMxQiAZIg+KmUZBu2cHj3SC5MwD0v0cHWqrPsMD2pSDAXInconOlezRmnzg+n2eRwz1OeY5yz5U
CZGexkSVG91uN9UTfI9RnjMEzqXMWAi1cEsfFHAm29olhYG1dT52tWliSgAEK2d0yCHLrk0fxhpw
JQ0PXm2s+pCKScwZ5XKw8JLYGSDNskEihx67aywD2pkevzmUsC/dsbt2ysbcenVfbAOvaU5ZVQPG
wMWTxo7LouRDD/a1rQf6hDOn3/LhslN3tu4pUT7IyMm2Miz2ZEMZ0KcU4jGF68Fzfjfm/CsZqgvS
31/H7l7z/5y6qPnP5Q3h/i9o4OrLP9zKLMewwXAb5MAoIPhwKyOBgzpoEirTieKoC9vvs2goGR5f
818TOV/1+60Mg7nn8GU6aqNLsOcfJfJ+NEKoSTT1xPzHMvj3MJb+dCerGaI3KAbBhRkKhOVjRKTj
w6/m+vtU+6OH/OdpN2YLz0UhRerkkum43zJIH+99mSh0r0yn8SpInH0edt5mNIy43jjZCPOWiA6h
3qnZziDl1lIra9YKfFV3Bno9u3rrybNTO16zz+k9OlPu4lbLrINzdVai57i2mm4KVjoe6nndDDrn
tEEvd0mYZVSiWBx9xmrekhgxSPhLsSWWX62bYoi3piz1Rd7L65j03RbbKINl+mG2kRYwxAnqItYY
vA9zcYeVK/yaxW1PF2Lk05ju0u2yJspmGTGkDP7XWkCIQjOyMt28a/OS2SPrd3XTjvwUUTWzqwrQ
rGP4bJbiGI4hxyGIfwuQSXuzr7Y9tZIDGPOF02pXXdg/2ol5X3nNXZ3MpyDvHyULBqdmUsVJZFHm
Zq0JwpzCENN5ECR7UWO+C0Z5ZAshLY1dijg2VYkcUXSgnHMxHZiMv5QUHy/T1JEcxqpLHcl45+Uh
o0H9LZR40cLSdJYW3ATOneI9TAv8rtgGpgLjXetBgKTlM9u042hvc9Ofj4yQjj3r0Mi4qNWoIcpS
u15FJvn/uaT/KTpng22ufVMZI8MSany9Z055G9pVCu7d5tipJfuaEeUiaMQ+b8Z6XYfZXVG3x9BE
I4SSJj9PPev8BOURY53cjMz8FqOI1pZFwbHm5qus9/djWZ0xeLMrxgB6EypVSbWyfwexrTZHrpIj
s70GaB5XGM9YZb7VLvWpPVds1RCD632fjBNEJP3dkt0Xkdn0FKYy43KcUfEXJnZ0U9J9uRKjqqYU
6J2ANbSDl8Ri27j6Z/Bk+1lqV3jFH9pQ26aQ7uiYrSmvcZVicZoz96bPc6yKxiqu/TXOYbqgh2Q3
pAbt262xqkx+8exnu0bvn8RMlry0gxVR+k9EPs+FjkAa1ePBTvXrmX+0F/k5c4l+WQTPSu3VaMS7
po37wppPpq/tPOeRZo3CnQ9ORqmSHQfr2rG5CwqQUeMbDUeLrmV8RUfhyTam68CH+USqQ5KXoHku
MMBRSA8joDjRax+wb10q+AKZxX14Jkpvz9XGCbV7d2weLOapY5CgrYccMXvibojGKrQRHSlP3nNN
AFfci8dSC+9dN3sg9LeY82HjBOVXwxkPlacdRkgMmOvloYq9bSrhspFxWXGH6PZWZ7W31hAfeH1H
O9Y/cRHhwGamEQIN3HXDLKE0WGOyG7XMoGucApTGLSLORtPkQ+v0k9vRdxqAtKlYWzX5CZRhqoO0
JEFvAdARthMDd4N04cDH4tSXdnTVWbPG4b/uGRB0pVSfMKaAxaLyKPRyK999mzF4UCstHzWCCOu+
kVd+CPzdT5H0W8treJjBKXCQTo9cNgNIavZtq+s1wgZWyKBnKorV7dgX9GmWCdffAfW5L5tgk3jW
s5R3Me/8quo4yjojcDDXTOXZJ0e3HmdOgAxA36yAw5WsppCPnMd7ZN/TMpPwe5ySbTAFJ0ph5sWU
+DeJghqOHrTceOXGWIspALvzJe+yWX5qumQ9F/Guj9uvTj1cCP3EgNgYYJpD+gIxBVXI+VRMGg7q
xsDCDMnTH2K4ak3uLmJnOjU+TeYTWhP36bgyvmSyHbdlZSP+9y+96W9tq2XeTFcdh/pNWfM2JwP4
IucJ8Pij3eVPtiiyhTfGd2M6nXJv2LUVUUNtiJ+CcNpHAx/RcTz3fgb/mluensrbtp0vdiNfsJBf
FYj0rtXTSgeNfygOkTP3m97Ctz3q9ZJ3Y53TvA69ruE0K6G42oiPKQS41o32QTPCJDNz2CG2vMO7
wW8wFSBIcue+6qNDa2LDaCL9hZ3gWPmMMrQov45wMOyKOHiygZ9hGKp3tpo1cRbXOgCjOa8+C50T
lpcdjtgDusKLB8PMn4tl6SYXXP+7BMgdhKmMirLkVXO1FXrdrksRdKrOf9Xb5MDvehWBS1x4hgfo
dLppgL8tY6shOqPtalt+8vVy33NPxHt0x8hrxRhzhvsEgSSj2Eu3xq++PtikGvJPOhV5C2OOzszh
tpVf3dO+PjOtKHZ9QM2862XTSYCviw3j1NXRJwnMRq/RS+jZazd5pgsIENZwrRuC7ERNMDdx6+dc
D3HU6+5F9wYKavOqOjbCCRS5NNswm/yMKEithh5oz0MpeV5mka5xJPkL04rSL3SEceNieClXA9Ev
bFT+118fQn6SnjmCwDXwDMkpBGIGvKOfpOfEFlmW+9pVjPE6eUy8N8v+ZwOWP30LddL6aFvlKZZJ
x7fQEQykc+nKyxhf//plqCHNH75BdZJSL4MAIWdDpkjmTy/DMLopGzxonKBxWRwvc3sax3sE4V9/
G4bWf/o2RBsJjNMVYBE9+/GlBEU8mU7SB5cuIwGNt7qhKlKrHjrrWtXNyqZGoPoXwPe9Xk3lCv7+
KnF+rSM0ntc/T3bU1324Q5iK4UVMHxYfA5wPdwgYfMxtvhsTvvE+fr9C0GFKfF84mE0hXKu06X+v
EM5vmFi5PpDotHif8Z/+A/8BI6EfnpdvdlbMDHBDeDgtNfv78XmJay0xHJr4LpkO6OYcGvRjjUIP
XUp58zy4ppjHPsxdJT/J0BqwW2s5dKdh1AaWU6d59EKruPO8yJ6XFIYN9OrmTvvUmJ3AGYa9dC3D
GLYQiu2opFvo0tYyVXKuMUqQnfm2C8SlU3pvOr0i8b4aSggmuiAbN6MVXd8aSi02vunGCMhj76+o
vD6QG6CWQmnMQU1jdqBPr4nSnyulRBNDU+3DqNOT0qlh86veYNT1nAu43Xl7K6jrRY+8XWby1kLu
ziIpVolJ7skfrxA8g5WHNF4hkZdI5aHLylso9TxXOjpYgXnrKm2dlCbZJ+T2GNm9R343kOETmacn
4LnHLkw4l/j0+lgNsr5VAyLOhtJdlkj6fVU+VNZcnk2EAs5T2LDAoI54rqDx0pMGz0nNB1qTqOYI
WfmUMzyYGSJwe+qXjUBJ6vT6fW7qCXrSmK7dptulTbyFvboT+OdKx4mxqHlLztqI9gwuMCdxWFIi
RKWmGkHv2rso509WPzId8IrHnCEIRqkb1wpXbpl+Fkl4L9W0pG1j6+QzQIE7dROpiUqvZiuw3zj9
U5kRKO4gJVS3oRrE1BRkkPJghJYfZ0Y1pZrZ0I2CJy1HUccHGqODjMc8EstWHwB/Ffk2VdMfw+qA
ZjMQAkT1GKsJkVSzIrx0a1m2SiaFDq/mSSGDJUtNmDo1a3K+jZ1qa9+qORRh0xFtubuZ1YzKNkOw
/xyYKzW/ihlk1VP85qvJlgwRzGyGXRT+PYHfeXb8YGkwDEuzgACY+jH0/labXLrd50vK+Ax7MpBl
YLxTcWUxXku95Hqe5KdIzd1yNYGrxwh7qZrK6Yzn6CggjMHArkAkctUEL9TcJ42j96JV0z0RIyRq
dbRJGPzZZXYxGQRanrzuG1yqrZoRBo610czqE212HFcNDsTcoSRjxZLx4hQNJs4OTCcegcK+whbE
KBJ6GPPO8VzL7t1gVNkwshTcUmM1w9TVNLNNPeQ3NeGETfAlVTNPYwbM4I4pECkGorx4uWiH8LlS
s1KhZxeD4Smy2YZKpTf6G5aumq46as6aMXBtv09eMRSpWSxjyJpZBPNZTc/To6Zmtva36a2a4zoM
dCE9JGuqF25E4z+nauaLygK5gzGw586nlLFwJxJ8ttbLILNXfEKH2eabMkaOS3RZn4J1xssUnm4t
xs2mmjtHDKA7NYlmYAL3m8GIZSQqsweTj7G117XmMRJ1ftOMid8cxl6ouGjec36jxNfzKvK7sfvE
ND/FAp5xSqrITm6qVG+3mJG5BudFsaLSwrgeJ+tASkRchXywlrzn9iXnpraw+5o3p3XGp7nKg9ta
iPQYc1zdtvwK1kOqpTsB82yBXOuY3Jv9QF/0sg25gZvcishrpRBDdMEM10/+Vfy+b9PKNPf32/Qd
gWF6Oro/b9Pq637fpilCxZzD8dhmnzawC37Yps3fyFWR5laITNoB/zBgWMZv6H8EQRiIY+MT1h8+
QUsH3oPtAnmOsm9aqJx/sk/z5v+8T4NwADxBuAoMFz+K2sc/HFHZTbnm1Zhmx1p3NrmitVulBY7E
Gmj2ZRkjfIAPWh906rcBwOvETgnvRU6yB8hZPMOma86ofCrpYVZ3cSetnT12zdWQ+OWXsuVm5iiO
fZg6EAwDzE7L0tNYXDKhjdcNNUuXKo6tF00nJy98EmBL3xdUsOV+fpVQmf0FTObtNKY2ZmO0FSMI
ScC5MnsA2W+/4Oqq7waDRHzbhM4+6RTnx+m0ZCPsqXg0O73FTtYY7xgJ02dbT/NdYDf4FUu/ee0h
oq1Z8KO1U3uMJGJoYOhs5c2gShU6bGJBFJSrfhBWfwm13Oo/F00QWkcBygBXLypGt0WT6bR3AIoq
nYY5Hpe93+T1xQlLkIfg7sK7MGYC4eJbB1TZmrMq4/Y0GhP0wAoB1Bcp0gRTkb4cuOoZQUqJosaY
eRF16fQW9zAR18bgMdbyxxeJt/910hwb1OQIZS8IpX2YgGTetUMxM3S3oZtD5dOPwQARKAog7vhl
H7zxJEUESOb51W/C+V1G4zMFAZs8iA6aUzSrTEhmJTYNH1o5BPRmi27aJigUx0BgR06KkSBgSx5l
MWYF6lc0BNGmyWBYLOjxKRdlUj1ZTpTuU088mAmqEFFVIrFqG7bdut3JuJF3blhm+1ZrvYdSx4E3
epSBZIZa8Tkg0gbR6Nl7Q7D9TaOs+4BtlV19zC4ww+AjtP247TWtGVnwqqpdjX5UfnWArO5ppMxv
aWhr9rZOAX0wCwfzBJTz0U/ik8NKeW60Kn4RvlPAWVTSRDIXL3M3akce3mDJKA1DfVD7z+6cDQ85
A6d1V4zRnRaN5XWoAP45kWQOGpYFS7ZpLLEGGhq262a0G7AMjPSXAceIndEb757k6JGaB2cczJtJ
1gAfSEuI95JM0qaKdNSGslHbIKSHb0vQv9MXFZf8xVr8f+ydSXfbRhdt/8ubIwt9M3gTgj1FkVRj
NRMsSZbRF7pC++vfhvKSyI4/Z2WeUQaKDIEEqm7de84+L2/1S/4u5M8GL/zmp9WYdjBknD/gx59W
Y+03l5Ot9cdP+K0/Tk3ubw6aC5V5Bf/5fQ3/Y/Di/qbCXmZZxZnKIIc1/F+cmvR58PPplM2pCXMo
aVzMhgCf6Sx236/GRtKJZkIHexpYXH0TCP4aMXWyKoEN584g142SNsZisMzuCXXFoaSjs7EJB1wQ
W0BYywj0IxCudhOG9oocJ1pIo3AQ9cbKQZXTixXoE0QW+d7bVbNykpSUmSy4pXNqHwEZQCTvjGpd
Dl11jWp0lYTRF8LqVz1zUEwR7j6X+t6stW+0xb/0Ub53zBQAb710NH3rxZiLmAmz6OT4s5OMRh1F
erYcVJOD1OxlIYj7PXHM+95WntNOee+7iAw9zIz+0LPLcBL5WuXo0FOVnrnatdiLxLjo52xDJpWv
c4rKEiCA5mdOJxcdyR7LllU+youLbocru6jxq4wkGVQt3VjGNm14DOOdXRo3VWMfSfJ+n9BvjOJs
a2VP+FF6LTx7PQ3JQ45JJdCDt0hYd52FD0RNvo2hOY/V9Ytb07cmsUlddWFzXygMv8eWlKY2izJ8
jRneMM+oljWrcB5Kaymd3twyAEh8g2n6ShVA5yda8PDbNeTIQeKt0JI1S4YVDKUYjeeKsWlpX99Y
WqaDjMwABY8m9XGMvdIqFONYk+8D5BkqWepq5R5Bxk2BfW1BFoa6aYd54dPiZW1A/zXbxNq2gTem
X0SoOOFRb6b8IWksYEdZXiHyzrrJHwy7X3SA4EmqcL81Hkb3iF1Oopc3cgr7owxk4z3X1hR/RRDk
KEtPyzwA81qwpr2qnRwmSX6DR4kO9ijWJQK7Yz7p8b3bu1/Qdgxb8jWfU2TL5Fljs+lNhhxK2YI/
Ht07T/Q7I7c2YPjaTUbvb0tNe6+0AcodtTdWAxk9G+KEwpvczNnS0Q2cGuHRMOSzBDZwHKKxwNwf
Oz6p5vQ+q2w4E/jTrNy2L+9wjb02eEwPDhRg8oGi91KLBn8ygRjHWAUVtwjkAr8DH72l+Y4n220N
Qmmr13Z2W9kVGbWFI+5SfeTEq8WR35nlXeHKpZS2spgILoaMZ4ENBChNhy+ZuxTEbxTjqZ9Dhgke
GPx8Dh62Yr3nuEYY8Qj2dy9H9YXcWL+K+i/uaKLXnyOMC+hDy9D0xoU+mMqOnLL+Ga4zCr6pClAe
SbEZyiJ9SxnNbrO2p5CoXBh1qFO6OUK5lt4EnmGie4orpb70c9hyFBoI5rvxugHQiSpJwZFYxLyZ
ILjXg+oOS6mD5VHcCUCxRtJVag3T6r/96EOcPU/F//d+dHwXX4u3+Gep4PMv/rkd6YDhNHCu7AS0
AWb185/qbPi7tOgIZeSIYMKG+3M74gSA6Ix+r0e7l6p9Pjf8tR3R2kM7wEgd0fa/2IoYxH+3FYFY
UC1DR1OAjwi/vPdhMPp0MHAYgLkALZUTYhlkgXRUVHN6D3q4YKmVEfdlqGsYUOt6DPOMqXJZ33ho
uS+60ynooJxCOOxCHlNnD4b1kjyi+gEbqzO+WQpSXjtivqHPMGzQsDx/uoser2FSgOzZ3Dgu87Bh
BmkzBxhWXal46xrKNkN09S2sAG9X+lCui4iKrG/BgjOpoJ4q+H+NGdrdpnr9XH6AvGek9xR11r4X
zj5JamPRg9+0IpxKTatsWr19zQlWXHQzJBwbCtLv2WICP3ycQeK5Y61oHnTX7gwZz2sGphzpjA07
ArvlDCOvU+ghBSWeMXrpyqWJt9BnePkEjkmXQ3NOGpSxYpTZE42x8VbTHmKziWGCp9dxFUZLdPaX
ZJJiQVzCcVRpa7q0TXps+U3cr22XDdGUmVy4HaB1Z0aus7/Ee/GBYZ+B7Bhr1VXzQWlnitnTbAHd
zhxxHriCc6c0GFGpecDwCoNUKnNfoV3FeFgMl4mWDuF+ZnoZYMQXMyzem7HxzAH5pXSa4jXtIeIL
WKcyQhhm1nw9U+enDwD9MCAhxUsNlj4hIBEMKQerW4vLbrokKdUVD7bYibrraHQAjA9sxT3GZg+/
iFXymNr8sjhqjLUuWhs9ZRHzt0jYL2ENE6lvkFzgmXtKNRmuAll+owWZ+1IJr7IA5aabjKcMHzaZ
S/m3aLKYlYfyxCx6pFYy0SzULvnuxF/CNbV3dVc5ex2JmN8lI0cyNJF6nm9MNCFoqjACD1brLsxx
jiiN27LnD5Af4aU1IjTz2FnkCzECISYAbunZshoMtjUGZor5wTJ8vUlBxjA2viL/BNEIDxo7SI/Y
rrKqg23S4FEKssPrOVbQndqNEWXPsydJqviriEls9v2QG5wCQ21tmYF7TQDGWsm9r7rSXNlJfina
9j6gEmhKB5qSrpTXo0LUoW4jjkHtjSyUAVCOD+tOTYJg5brvksF4nIGdMp2rMWIvcpJoU6EgtzEZ
c88nJMpXVk4Ia6ccLC2+yiMsqnFrBUfh4jrPKZzWbRSirR9C4uOzXZ0gRK/4ktyIPmEfg15KHEL4
UvclbHveQDs+DV2B/lTQqFNklyOCrXzNznaetFZuTRVfA0yFyQad/pvNkbQlhZ2O/5rzo692WKBC
HTMfvqioTHZOZx68fvB7jqCLSEIfwsV7D/L7REP3Hua1y0PqFTbQDM/eB+70ray0G2tqd07rLg3k
PkycDV+NUAgoqQ8v+CVCr2vX3apBdrxILPfcpOLGLfSvXso7nGfGu/TGG5PD9ZJa6Tii01FS0y/5
jsFmkTkBaww+mN9NKjK6IH8D2XrXz8+jlia7uo3OFPCn3KUSTcI58XLr5IXPQkrT0VIvuRiux2r0
dUhyImiXCiJocoo2NJK3DqimvEy2djOsFWsmsOnxm+22BANyKicGIiUacyyLkyhVdyXUYqNJQj6S
NjzrklSCLtyyrS85nl913bges/gFvBqD/sGveEWY7flBrS3xoPqBzN7r7L0I2puBM3biqshc8Zj1
4tGqAK1NxlIzuQZePjPQT1AybhtprxlpYLcebszBu8uSSV96GakERa9ucrP2vcDjCQyUBdKONWPj
byO0G1a4NUgPv4ncpe2SlxE20Q5z4XaY6kdVk7Rf3VvbLh/dqLkJu/HS5l/FWL5XqgpLctAWjjF7
Osp1E4zLNDRp2Ix+aEQXo46ORWfc0Ij+pilyodfomnr6Baq6Vbxu6zbKWo2y28QqrqSl3TP2WDiB
11AhlatA6Q6N2q55Fa8bz11rRrM3AnRQQ7VCKjEwGmmWRYWkgHPaW98Wj/xTMEwIRxobqjbeJE4u
EdYTQQ6vaHxBo4SIyN2kOIBAnWjR1ek6gmRPLnFQAYYfqRNtZ6PL7gGHxbMky2UsnR34GRjIZKoU
st4K19qptFcWk+VBzuse+1p9KOrkplAwB5gDneiWz85bhUJuHWnxdDrEQXUXUWSHEtpdp7S3Wexs
3SE4wV3fCTPfd4F2jApIVaKN13k2nkkN3/GCYa5wL0ntXRna8FTaqLpqDKO6594HtX1p6uYkGuuG
ZBKVXlBz2875nQTmLeqJmY6VXWVWuMdGqS56YCv1vFBNxeOYyoNeU9aXEW92T1Xc+00/Fz0Cz724
nznzml4cFAIJT0qAKRSmd3ZLP4XiXJf7WsVZ1fcYVVM2noQYRPs+kTm2eJB9C8+RTyZAUJ1zYFKQ
UBNrX+0cM6asHtM62qFAOLHewpKuU9zNzYHDC+9l5qT+pGpPkdWUa89I7/JaZviM001qaOckdRMm
XRhZi95Yg9XdBqmNIUTJVzGijA6arRP2oa+N+jLNMBlF4gyBY5MEw34gfbNUoJ82yYusLbxfYDLo
iAIs6ZxV26Kuom/owwlBftb6ecYmMXhi2ynu166z1qhHNmHnrGM0i5hMWX8wbIALnNZDLg4kjB5q
ad0BwmGv4bwp6CDKOPWViOaY0E2edSAECMRqrdhlijxOjE+bunxr3Rnm2HikdaGOMXHY5irb36eS
9icqTrran5oVv1eIDH5txzToY3s/QrlkX9coDIVyUnOoLOmiwHCDOOjXF5l1BZ/kDR9lKCZFPLSG
SWmr/+BRBSik2jCdlNPgvtaQTdqnoSCXBH3fP4lSf1bwfr7SDwqHIiDrcwq4ku7SyGWU4miradoV
WDTa57iw/V/f2E8/Pd6mOZdD06AFfN/q0QG1uIjWw3OnPMv2UIVvInv79SV+dkdUyxTLXIb2/g+X
CGwyfLyxjM7Eaib9ph3HVRbh+A4xSDETkte/vtxP7ojMcg4tiIOZ+P8oqJnhPvqoyvhMwOAiNmCd
zwraf7in7ztkHw/ddxf5QVLTBIq07ICLJEzaZX1FD/YflC7/dBvzzz8dfDo5MR4lRekMzMiG1ZnS
lgaM9OvP6gc5zfxYf3cbP3w1ZTqmZZc38XlQjAW+Ii8+m7MIzXmyGPw3J51Y2V9f8We3RcODYCjm
TRYa8e9vK43dPCbJNj471QXVFQ6jnfMvJVUfd2WQA2HaCKt0ROTfX4PQX8V2uzo5iyZaEVXtoJ3r
s/tf38jPPjoDjh7KEs1w9I88mU/fT9FHjhPH6Kjq8knYVxEnxYTFwAsYPh1MKEd9cPn1Fedn6oc1
iCXuryv+8GVB9YQCrI3Aw2AXkHPI2OgfFgPt+2+Hbi9iHIdgjdkGzcDhR2BqU5jkNwxafk6uQGrs
2DyPJKetrEt0Y/mYCdeur6x/fVffX/L3N+nzXf2w3oGFywciCZJzZ4P9RJegeywKxfbXV/n5Z4cI
SGXntH43gH/6tjDx2Y6EbXoOKqyNcKJc+Q+f3fzp//jtAPXjaUMK58BP+P6hK8nyBJ2nJGc0qovR
1ak2n2MzROWd/MO9/OwT+3wl4/srcSIuauQOyVmz3iP3YgW31fQPy9vPL8EYViN7CdbGD49arKWd
a05hehbiZNGdHNDX6639D5vqz14hHrY/r/LDV5/WHdJmLALnOH3DQRkYyqo211ba+qk8K+kms/7h
O/rbbemqyVyDrEq2Io3J9fefnO4F+O2cIjvLblPVz729qqabf/mg/XAJemmfl23RhXygUZWdewKy
NQXrcfL/h2v/k5fxt2f54xIzCFKl4KHP9v0lkmFA9s9J69xkb8q0Q0D0D9/L3x5lLoAyz+I9ofH2
t/EPS6fTa2LKz9R5eQvNMdnF6KmF9/7xWf03JdR5+X/Vla3f3r/+Xa8x/9afLVm6qxbdVYuJ3pxJ
zI/+bMlqvxGhZpse/VBWrU8tWcP57Ucqxp8tWTChUFYcJB4G+ioyWf9NWxa2KM/YX6sdE0IisRhT
aiQ0UTOaPxbdhqLTC6nS9KSppqz3noxL1Y+73FRA/6UOGCEbpZ/fVkl10RxsjWRpgLbdDrudGiQb
MfMh5xaUdL/Q1WFsH3d3mmHWB3XIiugxmJFxtmSoMVK4+vkHTy4FqEgY0bbULcjaUOeKdDwNCjZj
z9FfAh5kLMPpoYRUJ2xckw7sugGGXTnD7Fp3+ALX86tdOjelUfAPGFO5DQcL8pFbbM3Gu0jYeB05
Zri4c3pIGuC8spfpfQBLTzExDpFhRA7AoJ2Y2lz6PEGAMiP4whnGN9TutrMxl+Rpv52tC+YM7uuL
sWVADziqKKpuRTGRbEsjJ1WidrABFQFsvip6bFNkBMIqsUWk6KKmWSFlzFqp9kM21c8KKpTnHIEZ
myGs0meN1TCrraJILVfprMBqZi0WKbfhjTPrs+xZqVXMmi1Slq1TPOu4Qg1F14i0q5o1XtGs9hKz
7suuQFLXsxYs+pCFdbNCTEcqFsyaMTGrx8YIqd44K8rgKSEuS2adWTArztyy5uSXe2MT8jeIKt6b
jmJrOy+ls7zW8cN3o5NqrxoWoiXDxYWD0OYYdS3zKhfaK26liMzNhRlOa9XKLybZkz3emIIw2jp9
By37UDXpVaHCHAVRsMlACvqOZR1rT0FNofMg5fHSwnU+RGJf6vWTrqRXSU80SaWDMUGos5KR+2ZC
7sO7fC3yAUhiJJ0UEOsY6yvD6AwcOlaUTEcix3BvpP0qLQmqNkzcW+kY7do8QNsb0HUYbN1d5VP4
Ng0su4FaYITy6JAWs/bRwrBGu9d6o/Ncz8LLlNA7iU8oGlatJpdOPt6HgxyWZGVb9Mm6xB9HWvek
AV9Lu8+XrmpBZQzzGNpeCFWT/zOZNZW0WhwOUH6qzihey0t9/LR4u6O4W6qDeu1YmAvTGoTpWJKu
oarygLCm8+nC6qs4a5SFmuvP9oBrJBiL294hB9wbe87lonGgnFC2Aq5cMAHyFo3jvOdB+DUrkBbz
dvkyGYk1oLBpLRhnY0cznOGn3zZjvio0ur40LLy1y6Ovama4FGotCTi2JKWc8oH/iBOnSPeikcXd
f/vH71M9Srpf7B8ELlDPITOJ5bj7+n//z/9X8/NLf2wfH9l6Lsf6eWlmeMePPm0fs7qEI4v5++Du
r4mehqbPISXBsihiCTb4c6D3kbpnECRhYAd2cQP/KyrgLBv8fvMw540DQaGm82/9nuz0qRivigoI
ZZRE5wqJgLvFbAWk0nJOGtFoPO7hR7wd2fK9XS/akgQysMlzCN4IIL9eYyHV5G1vz0F5vdtsiYMz
ghc8som66nuRKQemlU2w1xiuaKtwUhRsf6mA/QA6Nyo7X2v1gZp2sqYs9rPGC+ZANuEYIKdHGy8V
q5pHQ78eW2cixSFGQ+Z8qOayxFIwaxJZtK3CGrKGyBv2gKrP6lP4oblrDQRYqxBFIuhe1wY5PKvy
LDBqm/8e/Y9Hfwai/+9H/6l9ffn7kz//zh9PPkJXNKvz4ZWJMXR7mlGfnnwQXyrxWEDFfq+p/pBW
eRROHq+FgyyLttGM0fxrlo0NnWY2P2LU8C+lVczAf3z2ORpStuFtwUVPP3EurD49+5msmbQVg3qS
SfEYeMLa2KnBI6u0gCGQ1FysgtlmK0zvet5o10Uxmwgac18XrP29GCpIK551Vc/9b9NNwen2NgoV
Gu7uUB7rSfHLTiVS0X3TupTcwLxHANMGy8nud17grmOnVJclfui2CTJqelRPyITue1FvzTgSd0Rm
IaUpyze7dw9FW97XGoMGMzfiBWEVbxnT5WXRmAIGRr8dKHIwdxaRuACpZVZgmmfFsA+B3Xsr2asB
CF0lWCp4wPF2w/8I5IvThm9BDu0XuQ75kmNZ7VzhkRJbKDcyc7OzJ2ttkdsRMiGDZnYwOs4yAN7n
hwpcThGMQM5MzNie8bWJbWgZ1bUreYfLKH2MdeNOFl65VBL9vURJsgqm8L7u6F1Uza61yaDMAYfQ
BfiqqlBTGBdvsZdchIo0k6otF+Ehmbw7AskcXMRIAmpdvSsduCoTX4JElO9nAUxfdKIvIwE4fuM0
j4hqMWWWwLErcuF7Uz27makBGY4vMUabhZL3br8fR8yezOqhZ5Z71RbX7hQfurEId0bS3LSzp2Cw
IINRJzdgkWne27DRnDIjGhe9a6UoqHqFpzskrMmsgYJc1AwHROOePL0cNxl4TNT22O5F5R3Dpn7X
qw4O0OSEF6VFWDPF1ptHWuZ1NerfssIagULbhbqMEt27RiFGTLtAuhakWLsBhKZrkYlyD876FFHe
+GrmnnqlgPltI5QNx+JbnprAd7Ri39b6NapSYvaMiX5obALVgueNNUTZJAN9305rn+0y+pKmnO5r
ZojVnN2CMYvPLeTDzcDsLdxm+uIw79eC4jWHI9JyItibQrlobvkNOt6qJYWlrQbXF6ld+6qsjZ1N
fFJp5/uBua4ZGqdRS0+m0Q6wD7wZJZA8qH1wb5GUt5WMaIF3O/cUKBZ/tg7NWSdAz4UEV1V4elpV
vclHuVf7eFOlyU0cI+Zrs6derV+RMxVY67WGwRsqDOw36Ox6gGWqOFrk7FHuKXtSQE10kNSDLbK3
pQjn2CTtzdWZYzZyfCghXi86rVyXTDYXhZyq5Th0uzSYCMcR6nWf9a8Rn/XKNsrAFzZWm0LHEiXK
o4ekzHaLdYKMHLdT8IaxaO3UeJ2VjKwr0lILP6XzOIwMsEcvS30xWl9lb5F3piMvc5OrKqh1Py7z
1Ac4tkmi5tlNqgPm03stnb5oSnPh70NSYVIJ9t6xHogU4w9ehlPXo7pLj241s8gn9abxjOdReiW7
XsRJalCGPVwzZQdOqV4KZPZkzN+a7HxRmd64toAYjnwOWYMRALh3+FcIkbO2yCNWdQCZMDEg4eQ5
3hcVLg/OQNsHVzQtlIKRWV7wEI9u1jG9dk5JwVQLK2+2RP6RYrgbLonOtC6w1Dd30hL/v3329xKT
Ztv/3mev37uXrz/ZaXV+68+ddhaAMXhDFoYZ98edVocCw/yF/ZJGAZvcXzutpZOdQ/NAJ1+EX/9r
pyUZRQUsQ0fBRXH274RjhjE3D7/rUDiIa2Y7Mt0OLmjOP/+00ZL4VRpWEI8nzPDG6EhfD8Z+MSD5
Hya9X6gjmAFPF1fulN2ggHwdy0zxHShjwH8J84WLj/1Levsm9U6GahSchexX4o2PWet9mabq3ujF
N0ar60qxS0C5zlNW4j9w2UXw+E8bVc+vmOQyQw46DwmTcd2rFVICm825wuht0zaAQmczGGYwr+ts
xoVuPaaZ8yUcp1eQjMIHdrHtq/Y+jeW59szr2A20Da3N2zwdCL0cwuugk3vUuLD8lOaguUmLYgA8
+1Bwz9MyIRazcttd60ZreBkBQhNQXZHy0JaxjxJmwSDgOiNybjKJtsS7CB9CNMwbe97JuFpXLqo1
MGsLrEFf4bKdmlSzEZxW4+2Eaz7uApjIZeNPFXg/KzFin4QVCnihJORMWk/5RD6g3QcOZ1k12yP7
RDnbs4YqQzAHPEN76LtlRj2z9EYTvZk3LQytvbVRl6ym2voCdAtcdBjX5q1H3SCJ4bCgUnIMb5rp
Xut7gDeo2SryHyupEsqdMDS7HsYw4egQhRmR9MU0B9DHV67drdJm3KjZsJ36zl61SG8WSRhuEIZ3
vjMFYCfQZ5gORwRWpvcyscAoNt6CUdzzZHJIZrDYL6KgvZdCPMcoVwKQXCYiacvE+9Gy+NakptiJ
2BY6EJ4oLa2F5nRHT4Xsn47GgW7Nw2ja+7wsWdcsEIaaVd2bOYqT3LzRMGT2Zb/jeLKBWxpsYysw
gDkEW+ZYBElWxgHsnbbwFAQbo4JSfcrdL0qHksmulHXv6egfO3cxp7K6Qb+bPDw4agH4zwwFhl+F
0Mqq3MRx5CxUhyaZHqyNlum/QnefGfqXKcseMkv/Vhh8ZkFSPapuQVxqeo+Q5Aly4XmI0tgfJGgI
MT02tcj556NtMCSOT+wMLDK5z1uHpzmZHjukUkKrXuSIr8nSD14SL7W4fLLjXi4D0B10M0QFwiS7
a836PmpIJClbROiqkx7QMq7KCVaadJ4qmlCLurWPNa27KTI3qkFyBlK1jToisWvbZ8sNb9Cqrx1N
nBjfn4ZS9XjHJv2K1AX2dltcTWl3rRuwS8TXlI5T20HFa/pgU8T9TEqkWKMcOsfgsV2V8ElvLugk
ld00l3i0817yueiz1BQyD3WgBoJmgbjpzp5LxKHIEIPXzh2O8gNSlKfJjY4ZVaWhKxsCKeFjUG8G
ubrNPaA4tlORypfzAAazeokSlVrVSmaRf6fd8Rg/OnM5SxV0Lalv2Wy/epBSV4nSn4uAhlreaKYf
hDqRsQHQoGwuld25aLagAZ7H1LtJ8Qkvorm0DjrS6vJRw9tte68D9XdKHR7MBXngWMESLBVF+lh5
qzqxDqXbmOeJSh50OzV90FXJbSm0t2A0ACyl0/1UFFfGFL5qQtu3WTtu88BTVjLVryPap9TAUYPg
C3sqDuH3ooR71eKhxa1czqLAyluUJPcsbM+hpWThZgrM+gqX1EHq2j5utV0UyZs67Iib6KntJvN6
aJVDkXOXcVotSxlRaE2KSdRpuEyivAVkaC7/2/J/3/Jp6PzvLf9YCPlev49/P16zE3/e9FGKc4Jm
yDl7NZlNfTpezw5Oh93Wtjhl0/X5Y9O3f/PAf6MhQyb+qa1kWL+RW8HJGnGIbjMH/FdacWfuan2/
5RNUgpmD4zqgd84GP2z5eZmZiGeAOeYGfJ1SDSCSqs6TQy+1cNoHslXu0+kSjN2GdJOVXrmXVob3
QTaBrpwN/iV6rkqMR5zkofJm9Ol9rqC004w62Yy1eLUlEm+A+rsyT7ZqKIhkaAvU53XgRx39Yl3V
nhXRla+ahPZlBFm/Ssw4IMAr2fZxbW+DsN6LHu1LYkQPOYJAMXpPE6LBrHRrCJHVy5ikFy8yXmpb
exy6UfcRjh6BfRYgX1PM2VUCBBwltkVV/DCq7nMMiu4gSi1YaT1nT7VM7tM2e1ZHZ9qZOcrPhuRa
2522U6U/d01+7QkOobZz69WbFCdRBaSKrbu/b6P4yY2Vba8WD02thHtHL5deY/q56K61hDDebGRn
ja9nhEE1zufEOPpaYFIPJet4ZffX3uzWL2J9Z3JOYdHGGkNhcxsScYmwVqZPHPqqBX/iht17nrDM
ez9ySGnV9LYTHcmfGSwKq2kYpXiUP72BvE25svOi3xYSiGYQt6u+SBDm2lckGE1r044IDsmybVVk
X2sEaZhJGjrmtbqpQX9i+WnPo+vBsEVWqgad2EQCaW2M+pzjMt89ilArnJgg1a/qNMbLRkXL4U60
OJKXwQ5YWFtS1mR8ykrvOi/NpZ1Y5oIIqqs+hDAL0six2C2liVA3U9nDxMwBoCUy+PZMpMlSk03O
aRo/jmXu033hYYs9VN05gUrSeUHQvSMbTa7bBl2symAHO8Kld2x6ABoinMp4G/Wk8s0quRFaniwj
vjmlNO5pFC2qPMPX5djuVaVoOKGLY5kMz10+fIma5rWsXHId+nFu/tiEvSUtA4caMHGaSKhMslhS
XT20MT3XibLcj6P8EjSm4afdsKXJWqyhKAncc1i00mJn6DH+Ige9NPkWEFlPJnizFIQJbjEUw0iP
y44OxJgZsMHEc6YBWNP6YzHp9DSk2IPMvVLzYqfnpIRngKHczn1NmnDnRSHhdxw9bbe565v4tmyV
e6RuO1XMrQXzvbDtXaqGJ2gLz6LJ4CRVfKhTf2Ua9QHD07HtUon1d7hkIG/x48KFtwmI6relV+y0
WVQwmvRso31oIpeuKcXKrD/0jXpWMUuv26leBqF87B241Y05reNansp29uhNzr729BsrLg9p3G3N
FBYb4dHtDkP0yVTrY1g6CKE7TBIYy7Fd3DZF8xCK6kBZdGwjcxmF441QM3xNvPRpFq0Z2D/Am9xY
YbHN7djdEYW2sbseQL0jQXN5M57XYBAW7rDrXHKlA0KiVn7Ughnz1Ed1oHhy1Sxbenp700cWOCyI
4OSGRxi18kf611un7fwSz5g+0BBsMTdAZ3ueXG/TK4zDvH6dxd2TIJmksdRvUxPCb2YUNgGriFXk
QQtnUkR+ozOA8DMXCuDaLSzWvsEw9uTtkXBvZwcvhL8PJHKQrVwomkd5G53MLjsEIScthLHHPqAq
jD3x2sWSoNg6u1ZUb1MV3nVN2je0i2GdV6q2ii3tS6y1V4NmPhipQg5NcjvNXyFwoddSG3gbw5WB
gU0LlYdB7U6Gpl2rIP0i2yFzb+xfdDjd9DZChPFVuawk30WtWWvRhrRy3Py5NIzj6OWw++MaMm6y
SQXOS/yDX1C776umW8CrXAJ1vwC41nzdvHNCYMLx9Ao07nZimnUlrKrcqWFwU+biqMyJQkEF93yy
nrXS3jh6QHujt7aJJOS+rwd9mw7g4/XwPR0Jr0SDph5GHN9gkfS1ppXWWo2NjVNZZEJkUQkwCAm+
HarbJm8fmz6+rcR0NbbhXVA3W+jXsOIwNApaU9zzXThmD7KKut1gnumpLROV9kgyw7TzAZxdgf0v
vIvVqVly7tkqZC7LyQUUbl+mTNvWocdHo52UqhaLCLF71+q3KRO/lUrvcOnW89RW6+kH2ccmY79f
MUPUsaL3VfzFymPJ4m87B13A78zpzKyjyl7kFcab2O14O6erCofVwq65JSac2xp8pRMK7wy6xqUO
pB07KTS39A7GHdXegIk2f+2IwDNtcMvsMPhvaMovS32eQYZMyuU2iEiWGzLJFtN53T7JBg52yvhN
1LhOeYsX6UjStZFQBzP8dFcWp5kOtupSxfqOSJ6iVIsaR1nkiU3Ych5eIWEoT6LS5GOiOVCAYCQr
CAV669L0YkJVPjGc7TOTrFKUDRpqgAkihKZcYd3a4yU96266Nodk5ejTl7wKbsIKckMFkcwx6BBn
brviBPQY9FYya7dXtdYQU5zSwzShwxhSvnYc2LXUfTID49j1+Ihgv+Rtt5YBBa/R3GEiGJeuE72w
sn5RjXqL8e2kWsN7kBgHcv7o1EXIzGPaE41iPAK2PzhxfgzizPBtJ8f9jH69RHzfskUz0ML7UAen
RLXAyxc3ErLIAonArgztK2uIt1o9UeWXu9wjz7lQ0yV8DULnEuPi9fmtJJULHCTx8ELcCTK5/VxJ
D2rc71TSBjxT8ymFNvpQ7WTgbZQ02oVOdSBElMAN45BxYqgNdlrDXadu+RYk0wrj92UIqBRGvBBT
EK1qkFCc5N/zyLtShPAbHrphaA+tl73ZhgoH2BO7Qo1vah0gr04Tw0zGhZGTiDiot00KtlYKRfFH
DBujE9JD6NdBB+1qTpBqvWYtE22bt/oj8jY/S7RhbSl4ypBTUFowWREEjYxZ+pgZzEA0K1yAx155
KdPCNsyIuU/+H3tnsuQ2kmbrV7nWe6RhcDiAxd2QBMdgMCbFoA0sNATmecbT38+VqUpJqVTd7HUu
2qzaolQMMgj3fzjnfI+eF+wsd7nRBzNCTG88zCNajaR6Kg2pb6wcuL02xJ+CphzWUzL2aA+Y/Nj6
dRBa7yEySB8plS8CZ5d48cGLdW8bhsFpSJfP1WxfdxXxg5zv3ZU0+bKE5WhDiHUYO8yV4QezdC8l
8/ZC9H6ZsWCMOv02E9pV1gGY0kJr27aY4AI7Im6LEIt9NMsXe8Rp5nHS4BuYSOVzsfuM5dNkL7eV
Jl8IPA7AfNDtY+FY6bLfpkRfIPLnXTNv2nvq6KkxJQ0l7uywyUjmr9JzxZQ7ZSNz0czmVIFS2JgY
hjZ1k78hE2kpEWsCivj/5nTeGEN9HxJhgcU6P0CAICC166+WRt3atnieDB60BM3Dppnw7tSzuDbS
+JrQqLVIRHRwoqW9qvCDkJxmPRFNEh7HJrj12uwFj5/Yq8ddklCA74/bHF2h9eJGxGlV4tYYp/jK
s4oNu7VDWOkPJrzMpbR1TEb9LtTLjU7GbB3iXnfYWoR2/oYeCEO7Rc6y5T4QTXqMoZCmg6TOHCe/
Nbvn2ajvvKlWHDvnOjHC65wssswR8wke12OdeS9isu7Q3Jcn2yLEpYcwtjU78bLk3sFT6bogz4pd
wRTipNXGtjRi7N0Eu+yTjFCp9ktIc/glsHkyEpM2oiEv2nd/T3VOLan55u9pz990fDe/T0e/DcSm
sfumgfoS4ig9CWadOx5b74/pisS16JNpFvElqZD7FecWCo8n7n/9ImrD+edg9uuLSIM4IqjutJL8
/JvBbBpMjaW1bXzR54NWnHVWcpp46MbfxSH/vypJFUjJGAH9g0DjDurjh0VrwJaYLkCncDffxvKd
Zv0X2wmd7o9vAwkFMDGh9KT2j59V680QlGSeXYqRL9reDRin/6f7/snf4mf/+4gw+YT4oJSb+vuP
KXQI97HsOr+49B32jf0Hr+xvP58fXBl/+Xx+aJaFTI2I0Ib4IvKdxniSaDdnI4iF+wzO6tdv5Scv
5dB2K1Gpjfra++FPwYBZX8gqTy96sscD1OmrCj63AFmwBlj869f6fuz/5dv13Z9FfcW/+XaRPpET
WJ5ll8paAxW26bu6jYp0Hba/fqGfvalv//4/vKnCSTysM7+/ENiSAuRStOUeUVdx9V++az95LrG+
4z1yuR0t01RC6m/elGUXZsnFS/SEtQ2y12Hy7eDjr9/Oz75u37zEj1+3hfFrGaJ+uxTuaxK8CO1/
8XVWAFD0RYjk0bV+/xbIxbA7oZGekXACWkC85z9WdX/7hf7Jh8TWSJdK4arSYdksffshwQ6ivpdG
eVmc19G57rHA6d1/Obt+9kfnS4xCShApaqgZ17evAXS8KmaimS64KvF3k2Fo2LcDW+Bqw0L313+R
n7yWq/M2TMgEDhaTHz6xKADP4LGwuUSqp/ZjZTD3nXpVUmPdfXmpf4XYJl/z/xy6m9fu9Q/V3DUp
Tf/3fxh5/iSoSf2brztOAxwu8RNI4U3syMw7/xx3IrGTNuc+Rk8puQB4/r+OOwlqQnlEfJJAPm9h
Ofhzx+n8RssO1AKZEeRCHfnPP0jHsDz1HfjzLlUybITYkq89S1YESj9+R9oFM0hv9/KaOQ1NF6vQ
Ch+0C0iIFVs4wHddgp7xi2bKKNu4HbljRDvkcMX7mMI56oiiO7t9rNMZs12HtrFuAbEKjMk9Qlyf
0R4LeWsZbcKFxg6L99PYQ5nfLITGafkqdTSvOrSiUVibwZbTbZ84TA+4WcKtYzfMHqbiydQxrDMa
3ncqoLZtCU1CmAICL25YxYRauw16/SEpzHNTyMwvGXIFs34HpxQZiUEXXQbVqSrzU1EHVxR0jzNa
mxX7w4CgyXzXVwcCTfExh2hQ4UZAWXLAL2QTZXPssi3s0QCtILA+5Y53YxDotMpCFmt9m66qSR0T
nlNtxtw9EvP0yVQC3bgfnjvyFFZGCIgxpl8CTHzTlsW8HSWVoOzJG2I70tE7LNMm7fAt63Ox+LON
YsnVTV+3+3mT9EZN+T580sR0AowOopdkjHUeGJ8mgnTWvd1uE71m0YczPTcy9lVmtY6b5rG30WUl
NTitHsHMEKO6XUrrHmjItnZ6cxukbG20nDVdE1QHXFvU6KK8Tszyrq5HVjvVKWYiEk2I1Ad1TDm1
T9T/BzFXJO9Gw6azyBrJ0k0WCQaoYLME+KymgqOl6o4ViSHAzrIy3bqKt6VZ3TlXBK5UsbjAye1A
ezz1xAXjS4TXZSlylybDG8SR8Up43dqoO7pOKBe13jyFCv21pPZpno37Lpx8OaHaTyaDRWJyB0Pk
KratTaowYlIBxQKFFqsUZKwB6rTW4Y6hjHYAG1ifS4UkMxSczIZSZitcWQT4o7DSdxi/HvOEE7Kq
L1pUYY9X5DPxhYEGDC3J8sfRgQlHwFivWy860/uNg3R+GLP7KbWhuKh8dJWhEH2BrCnc2qLAa1VF
XoHlAWOLxvGpQF1LCn33NMFrM0T7IFpWiiEktwKiGwFXay1B62J3sOyDgmoeI3nvpIyl4MGVCgxn
QYij/8WrnACNA3lNyD8YubqrkYEtLyRAvK8VaA58msoyAz6XDLTXQu/fDTGDbEMh6kpYdZpWHnXH
ey2+QOwUzs6Ea4fwkAmmeKjg3WlWeTPSo2Phsu5VnbxxIx0g8qRdEyF5Zh6trS34eVOckQfj0JRA
1svDZdqnsPb6AeieFoHfKxSID+dCue1g8yUK0jerRXOmwH2ePrsohDCR60D9Ypluc5q8baCAf3CE
JDArJo7tfDFgAjYKDlhCCSTB+R3ZBtERCnbmS2P6nMbeHRsTZ6X0TxjmwQ22y/w2DoizBoUiZOkp
1jj8yJhuO2OXKWQhxNR7GRBFjfRT8U01Jt1VDJJqLu21YD+dhtOrjGAhdrIo/El6pOjWZwNSYkoq
xwa8pCA9Z+YL1TnAcPS3ZhSnsIz3M9mMhQOdB0PXwbFS9j2TAXOgHrbupA0bHHF3YjLFIexy5q8J
R4lhJmcALMd5iXaM/U6Oh6ipCU55lhyirr4PovqtmyhMi7G5msvgAlXooUIMTWwPewNgBfLkcS5y
NiKfQ0/mO2U/7pK0fCpKhrHOiPwyA+dsB2PjjyFy5XgYH722w09RajzTBYkpRZy+TFZn8ThO27Tv
daZ01KXeZNKzz9GTOX4emzlfOTY09GIWp0jmL9PMJ2p4CEkBvvjBUD42CUsBqwVmLnAakihHhoeD
jNAiHqItkRKK90ujvw0GXwZClR8q5nxke8NosLOu5YgokJDkzs2QAJEGTosfYNRWWTZck4Jyx1sl
NCm6LLlgPi9ql8RuDZll5lw57DM3kasf+hLBAT6R6SBGsEtV8Bw5HsikLP6cj2RHBGJEnILVbt+m
wzsYGQtjr2khnqUZiNj4t0r6fTFM7fL3VdL1a0Wt/xe3Af/ma5VkkhNMP0+bjQ9aYLn+s0riR9iw
TZo/Q1dufDqXP6skFUVsUSF5LGu/WNz+1FwbtvD4iaU8cCi5/1GVpKtW7LsqSW2e6dVIsKLwgjX+
fdXe1G0u7MFcLlXVIrdiELMCmYxg2J7fGUm9C5Q9aIRlAof2A5hY4s4nolIncWrtIOPY1t55Q73R
7flsL6Rj2GQFodciuC+MLzLOtnPg3uhZaKxZYpiwpfRdOnnn0bKvyrzcuaG37xOTsSuJ/S70w3UT
FkCr5Hgv7bLfEv79WZPFiRQ2bP6DCM+OTKuVVqXByq1tfzZ58kh336HBPug2Ca+V6T46lXXDePRi
471b9U0xkKAyZI+pnHfBlCJgs73bLAnvyd9dF7ZCodpIbMMMve/cic9jGSbnZemr16LjdWZ72C0a
CmCrDxFxMSTVwEyGk8FiLBsjVkaxjoQORGqvh6lvVmRh9qbjbdKohqtskwqcfQjBEHUzv3o1tOh0
GyJCSpHspoVTyNGjbQlRCuqCPyHkWtdttGlEZhzMuTxZehYfDc0+BmzE126jV2jf2LumqFq9Ud7X
RixB1Tfdmv0678JrxMXN5KEYOdvKBaWv3drZgSXmNXJ6QsIKkDhd8L4N3YeEANJDrFl7MQefmeUU
K2hM5EHJfNOy+MZrDpZAE2JfRkGLGSrXH9gYE9Iz2Qcm3dNGhBXarGxPyJizjmwyo8Klrddl3AaY
bxGnIvGBt514W7TYvb9EQE/rgEvFDtOPQITJw6kNzFjaYt55teHiPEn9yHbjnaYb0UbDabgdRt1L
aYrNnDSyoDjIXrPhj+pgYzU3PVSuvZkcgUMFxeWKCV6y60o7q/dNG5bBvTu62tGQ0adQKyvfRTZ4
XKqI+P2sOTR1+MBSG6hbBwVVQ79Ol+y3UW/7A4AydyjKU+E257bN38oJnrFYRlyYw3PVskSjGnvs
zRoCNc0JUsbqeSBQ1Hfa5aovpqs818W6cZNb0h8HPI7hTimOqUZ4JLTHbjRIjx2XfWIy35WhuDiY
BHuXZLGYupS4t3KFTXBHy3CVSYRUute9JzzyMujpO29CK5CDZAjNmhJtZnmeGHWMTKlstxgVXj09
PUehtp6yMPJ1zzsX5IJ2jDEg7Wqf4iB+V2pzjWkgjFaJqX+y4upxSN0NCD3MPQQivg6N7WuG9jII
lj9j556tiZvMmGV6K1PxnlSCE6ygT87SnlhQXC8GZUG8AEUq0ZiVpXkumnyX6WwBK3CqFrjTpmHP
oJnR3RDqPTi8+b3pPKSaL2b3VMXx1huSdhVEwL+KSnuIB8dYdWl2Sx6hRuXWvFRad5fg1qDcWm4i
m7w7aXUbaww2eZz4mib3iwon7BDnrfWGYB3qllUWeWdIbKSUpRdcTmvkdIfGJHZocKZwl+bLe08O
3bbLIYDitrKx7GVaAgJpqK/6cTl4VfyBRDo01IYBxGFEpBUn911mf/Aa4qVIdWWvXCNL1TqYpXnA
Q1xGuDNJnc5rzkIcBtm0awtzzn+Pcvl3LqHGa39/494Am31t/3rnqn/1nzsX9TXRm4iclAdcukyP
vhFiYeLjrNPJwPli1vt655LZKfgRUdGIp8SX1P7/+Jy83/CTm+ilzS82J2Ra/2Qy4fzF54SkC9s4
vwW3PIr9H8bXIgoLbHmzcbEpJ9M9ZlcTKXKdnpMgW4ulvYXP/BRQyJp1l+3G0HvS4ogE4ojSlmPE
g1OH5G/Cq1FFvlU2txLerCf0Uw/DRObTwZrazdLv7UR7KcPwGIRbUgMvRuKFZ05mdy3t2SMQmg1G
2qJfkfPyCaExi6ceVSzBhi84CqHKWFq3FWP3spT5fkQhurHs4QaJquVDI4/5uX5aBspaQrnPZHMT
OOpkj4XWAxBs9M9x1b6NiwkcgMVt2afRujGn+9ydRnzioD1m7alZhFxNOD0SwPLE9XnXhZznkyZS
kuJnFVGIR3sCfEf3yn8xaN/soMcws7Qfm8HYkFIGk9GMMRsHAjZk1BC6W1of9fQZwWrUSgzeOO9t
2EVShRAFTtdskJ3PYm2nhLihR7I4QiqMiaz/rc57NWIRDH484caPiiGiKyjSPXMkRTjXeqVkqnw9
IMSEDYpad7nZFqEtLFBzaIy1jBuM4OHY3aJzMnhjWXM7lFbCFIbMm8rhbDVxqq/aRuirqE7IEito
wvNaPpdLY64Q1o6+aASk4LIFkdJHoO482D+BF+CFc8b5FgmhIE0w0TcJOdNRKcujx94QX5KIz/g8
ks3o9e0xIrFsNzUhMmO8l+2mxj1KrwrOz0j7N9Mr3V0d1YRwp0G4N6T2Yej48xF/q/DcKPyNmiIs
Rh63F7r8DAnBXvV42nzEPMihPXHI9L5dl3aS3bgWNY/RFpg6NeTMHuilHcH6JL8Nrb1j3PY5nwAc
MLXAY9po2Y2zlOGRTw7/aDAWr26JNMecY30f6ETCtDqNWoERC7F7lzYbw3EQ9eJj/VDNZFaVUHhW
rc2pC6G5OY3EbUNR6JudFyEdJHPR2lUMnHz+eGIVtPYbfbsgMjQif1BYOzXAIzd8yRHPeRX0a9cV
H/ScORhZt9xzOf01Ym65qisx+EE4GnCpg0JCQ2RAxDMXHhvuy/24pEXnR0QT6v5kuROXF1fHW8Yk
bO9i7b0tjZqlLyDMU4eBCSEWpoJGnx4yzQjRwmXgTC0vRTdYP8JpCtf6QtY1iPiS6mNCmde+aGH9
lJXFsgpcb/SjHC30kGOpT3SH5nROHo2ivEnqNn4/42IDHxNGSGJchisVi+Olv40LdEW2xMdLzm99
8HoJGXZ43+vBdgxdyFKe9jYmnZoVxS+WlhzRGz5PcnR2tLVyneWNOkS8Mx/FoU+9t5LnVOtVcZ67
D7pr39RGdKwga66KprwmWeajKb2nIdOmjdFMN93SuAe3afbl0t6TQf6ujmTg6x2XcN03BD/M8YpC
ZN5ZJkaFpGCU6RKoN4YtRVN0F+oMC50Q3FOfWfUJZsQrun+SowpzH5fRMXWCi2uNZ20i1X3GlMyT
wmiABAPUDXFGKCRasQ+JixtBpl2yD60BPYfoSeavPXHEpgcdSJYts6j8g9fanFl6X7Apr2/KUbuX
basmC2l8DBEDoWIPiZKYR5dfCavATDT8tpo4k4JyDG9z9pQ4CxBI9erhWfQgQNXNi3aVHflJEHs7
nansXRY21cY1EVRxwvQ7mKnk3trgASphzP6SRCAW0VJwwjjzburnxA/a2EJokgvfWxJGRY391s4h
5EexHBihXHAJnHIruSKHKPetUTd31si8yILRuE1JMN5Gjq3vMGUSKUoew96UE2RPrBdxlC3IOmJz
Z1oKIJbw20Y5T605UkNlBfHQTMUVkIhTSocZthsL3qndDPYeCm246hND7rSETjHJAf7WIXyxIqew
55jq/x0u/BFLQGXy96XOpXktws9/LXWUb/trqcMShpkRJj7LUYwLj3XK11LHcH/DemSbeMpcdnLy
m/GC9ZsnHMmCBK83inCbH30dL1i/QSuU/B//szZTCfOflDroyn8YLzCmYFCBHh5WEmFw7g9LwZpr
PB4dPSCRxKBWWbLUI2PAC07aVOunwmk56DV97t+LJDrGwfzihuAX8BR/tAbbQItDSw+rDemqX1t6
AlitrvwpiSnRWduUjxAA5bwmn70NlbqYyUASS27SympeRRbEnzvOO3AGhY0NqqX/KRBqFchPtxFb
ntrHK2x666wRw7ZuEgKKmegTxE/n0Aa9hzctriSZ2vakss6bN80NJ5wkTDTtOEAXaWJdcQ0G4+p2
0yzaXMKhucRmbl48w8cMIWG1lMxKdAYK461hLVfR4Kk4rytRZkDAo8MEmnxtywZ3KV3+umyBapit
iK4qIXd6pd0kOE3uqsA9Ue5hoQoxv4UIZa6KtmzWpjam/iyBCTeVRqFU95epay9aOrmrEUXvakac
hzOFK4QdFrZx2WmsUay5eUut7j7O9HvmV7mNgKcrbrQ6Xc6WYEZdV9uwktFzGeP/AstNOZoTUwp/
ziqjN3rVZG1WqMjM0kU81uNRs/J7TdrjtnIRrTk1ycMNLSDDcG9fEUZP2su0ChZHbkyjiC5DCIIx
rpJ+ZbHo6SatvJMjkj0gf1zSkJa9vlhVJmOjWDsD9t0O0iDCpa/Eu9YzkCwiz2tw02yZLcUr7IXr
CaUy8UBO9UKRyDVlaMxlKCW4UNoZl8I3j+JPJCh/2ajzwKm0PGYhLNaZ4X0/N0v0aNRTr02uTT2C
AJON5ms08zmNsOf+iD39t9Wz2Nn+/fl3/1r8n9XnIv4pMYh/+fUMNHXaM0nTxoSVg1AJD76egSRe
ECfB8hcfDQtej+Pp64gV3w1eWvOP5IpvnTfyNww5KuNFoiphjf3P9tDO96ob9tCeaRs68GZ1ANJE
qp9/I1Bp+9m2ma1oJBHlyTorD0McQA3JJBI55SNInXmvKWcBnq1bOEEeK01cByP2g1H5EPBtEg/G
ZoyHJVnjMCpXpvIt1MrBEGNlGLE0lFgbKr0+z7114BlzryrlfhDYIALsEMwEd7nyR4QdUVDKMWFj
neCBWqMHateBpd96yl0xumhrm6R50ifnbRJy2iZjdZ+byTvHyDlG0oXEWA3jWu7Vz6Kv+k1sVJs8
ZYOVEIuxIaZiCyO259lrdmMKggzxLq6BPj9CHhiJogpKlkFofrVNMIn3VTZo8y2djDtsyREfCdcv
VRQS0Wh6xfJCZSZ5LK45vrxtZTCcGVSykqkylurZ8geVupSq+CWVw+QVLIpVMlOvJ586oppoKDyc
OK69srrrbHhntqVDZAbZTjRJaFHn8t5RuU8GAVCJSoKaPCSt6GOBrJbDSQZte6z14gPWnATvfhaV
um8T9EVtlAvztk5DIjeosMBfpw86dPfUofeFMKkroNJzIcpHGoqSG2Aqr+AzzWvNAWfuYJoOq0OR
ldet0e5ynCKZ5xwnO3hmboFaILVmMo2TLUkn+sHoVQoY7xtR9IQLRiLA1LPFWvP7PLlhFx+HmHOY
7RtUCSPQlDMovyCQeSAvBLtz5ZBnhSBdfJGmd0qlTvoY2uHmi3jdGN3zYs63esvKVZctvbjSujeV
fh8ifg+UCn4BlFAji9cQ7gNpurUT54AzbJcO/T5SOvoBQX3n5pfJwz42mQT+I7kXucpfwW+U2D12
q+TJRpvvlNFuRKvPwjxceaj3J1T8FfqMBlV/g7o/7oy9oeT+iRL+S2UBWPACTMOIKcBgcTrhE5DK
MMCfnFiKPvmc0DoMDb+bNoc2kWUYDSSOA0brOwsHgkkQSKAsCV2fnRc8CrkyK8zKtmBp4j7uxw+F
1vp5+9D0hrHGjnob4neoKNOLajniNnvUvWQkzRxvFg4J9s60aow8gE++z5WJQnPoBpStwsJfESmj
haEsFzXeCy8wSl/PR1xGCyZ36E26+2Ti1ihbbVPi3gAB/cGqdNxpytcRRhdIhk91M15F+D4yZQDR
zXlbK0tIjPsjwCOS5MU15EMXYiruEWUjYQh65SljCVuOU5bxX8NxMirrydjkBxcvyqDC3ZU5ZZqw
qTjKsJJ+8a6grp3X8oujJULJA7VVhi8JfpfC5m5ulAOGeBDsPS8tzpjRG3wWALvEct93OGfyHoVE
iZcGZ/q6w1vThNUzmTR09DlOvFHIKxcfjmvUhKAra07TWM8xXp2RyPZMmXdKV9xauHnYUt2ayt4z
L8PZVoafCedPUNBEegAPIzxBsZs+JWZ6FertOwe+wipL9LsOF5FZZeeITijV+6c0F/eNshvl+I5E
rvIJmjMSEXBtGJPC2ehXCV6lzKxPNd4lviTHUpmZIlxNbcCyQdmceiQuuVkDpUEyPeCEKnFEaZ5x
0uisCPfRDgLPlI53qmvqQ46XaoS64C3p1USaVZctt50yXTl5fbZwYU0VX1kXRFaOPyvAp5UCjxG1
fejwb7WiOjLHORhW9Djg77LxeZHrmNG6B9vBRuCNEyzFEWYoa9iCRywwWY/jGSuUeazFRRaV6SnG
VTbhLvOUfIdp88ooa32d4EATQ7wtcKRhizzFONS+XMn/1iZqKvvL2gTB3Oq1+fDa/GQDrP7x1/IE
MRwFiMDfy3hZ5Xp8U57ov7Hb1ZGVUxwIurU/yxP7N4MGjFG1VLve73RyltLJSUZZFrGlX3zG/2Aa
/WODpobaimJF8YSCFoHo99WJFRna2AHkuY5gzLTX0/TyzcfykzoZ1fcPLaAaneMIsOn+SAK3nR9a
wD5oBZadqb/GueSbZvU2V+I6C5I7u+necOZvKDhw9gjmOIZWHFic7ps6wRuPzl5qEiAPVtfCaSiS
EML10Va01ScNB+XK9K56G4hb26XjaomyizEYdsqqt6utSwjNSCl7oGjzIa7tCGwhmSLzAmJdtw8T
maFvI22ZZeWRZO0bo/AWcfapNrOASBJk0YL5LvygUHtOMhI9vFR8JGQp33YGUkDBcvdkMLADmOte
nMrR/Mxtnj1coT4iXxboQow3yTQaMKNKuLmNxXy9KU5DE78nY+jKNkGzePmMV3ao91lR7lnMLhsy
fx4CO+Pmis8ueLjVwoOt6bRGhpgIldIuSGRAcGFw2vaQncKqu3cSko44IawamJ+u7YuqP3aVTjp5
P99OqXskSKHAd8s0tUuPteO8BsYwkuHAWMzTNn0av3a0d6tWjUoJHczC5KLB1aC6IkXBfIGbBEHb
2bPRuhIFXpnGHM4Zyacyt6gU6j1Rr86qFN5jEi/dfkmzmyYoSa9aolMX6y9VbaqZWXIUysyQUXER
+sSAd+H2RZeyjtop8ns3PswZnjc7sQk2S+h9a+L2S5m+74Xnj+SD8beAXFl0eOrC4gicBovT8CQg
ZmH0vJatfGm75ZLGoOhzxGW9AhuL4RyNzaFkxB9OyROGPqbu3rjPBq5YM7tHFI1DOcme4Ow9wp59
kkG/LRt5dBebgqd5L0WHK7bDtGW1LyVvnsN1IgNi+UQcjU/6x5qok42VTlfViLStr8OKeTPxH53b
IrADvRRK5z1PwZapxUsYqLTUtku2Wt/ztanf5jLZuyRuCKt63zf6i6Zh1nLQO6XsPYbJW+t29mFJ
g9s0NxasTuFVmih0SlixqtGch2hBL1D1EUkwhEzoOdNMg5BUraIedRfHPrtTWxxjFI8brcJVbsv7
xBPPfdWGW+xJAJIq9fQk471u4LjpK5e101gTGsPMQzPsu8nFZNgjkDyxuFXxMlbre1k1rEz8+/7Y
IrDtTKxbCAx1iU0JBjIcEA+6Z8RwuFwNlUT7kDdD0BKmoQWzuoDj66mJ5VVdYQzz+ChWVlqF60ZT
dk1CjjciIskt6zXd7xZyT4ouSO9KV5rdKu/1UyUV3mo2Vx2mwq6bLpWo2kPRUwgalmr9zbrdEx6d
+GHcX0kj5J5MqwIQtI0AZPH8ZTKNVS+yyi+7umQFE2cXh7E8ACiivmBtgVcLqo/2Mj82gfXqpPWe
8+2cREa+9gxwa3OmXQWpib4hM+C0SXtad1mZ35c24gQUpUH21AOtGgfyelkFXgRwH06WdZOIjeUY
/YZAuJNTOxyIBr+0M94WPSGbTC+Yr8zHsA72jL2RNibraumu2D7tIjs6Y5V+wsKFEkU/juwBd8WU
Mjqja2vjDjVtIE9GB5UqQCj4AVa1uSaNCZCdqMf8ITXycTtQTFuEDa0t8JRr3Pypv8Rxc17c9Noy
qz0zjVujpinMsNhNYJBUu7bhyDuYgMiRqsnmkM0YWdHm5Wa+7lEpZ5sWqJY/j13uceb0x1GX5ftC
dHRUsfaGmgVdTc+Ai5cDgVlJcYHQ1sxrJHPDfkiiYQcFad5x9EdPQc0rmH32UCDpYcWne8ee8c0R
vQ4kWJvFhGO5LCSwGIrSebDrMuE/JSpn2aR7mUUA/DStH2QwP7iFvTwvQUGUaY8ywu5DY+VgrO5g
Zu8qncSDcq7LdcY/XDHZ7p+bmInS5M7xss7iMeJWirq9GIhYSUemPG7ebOa8fJED7duIMNQhd68t
cWs5x7Se3+lwgIcYvTGUvnd9Zj64fe0RO0eOXanRQpZBNpOLgbCm0vUX4jqsjTWJ+rmXFX7ekmVn
GvFFR+vLIDOwnk3KyXuA69PW7TVvnfT67P/6ev7ZGIukTYPYElxtqMC+v/7B6zELDpPiulMJ4tNy
sOV4Ozbt9tcvY/78dZQ7hIkwj/2PRUDnLHkaRsV1nmUqTPIdpxKO5/w9x2WzGmdPWXCz/QAxMnPT
fWtGzElNwvyKEyfVlY36KPHSWwKm7mSt+1bUr3uvWxVh8LnsQXnPPAJica+lHlKu/aeu+0kB89Pf
HIing0HHxveHgO/b8Y2d92XceWlxPTL1DWfIfTl716tfv4j3V0OL4wkLBR4zRRKfnB/+DijZqzlP
++G6Ctn0kxR2sEoOBj2ouTfAUCka2rNWZeUtoJPN7OkHUjNV1gZiMDW+WZIclBlbvz6yvPuCW6kv
BxIFDEYwhKaubWKnlHjgOtbi4xTQVY8mz43MARLOnr3ckVPxmnYZsiga2gV6bdAa0o+yOPXTzvqo
NeaWIThJpRZ29hkj07qsWaJGZJ1wFVHaRPLAzPcz+9bXyWFdbOvKhpCdSYkYVo4za3vdGJMz09J8
tUyQpkMDNnTkJQ7RV+Fj0Bv5Qz2SrukZIcRDMgBaWYGkN0Yfcy2Zh8ik5sRJ/Uo3L+gii820sIcy
rOwq0F97se1t58C5+OJqtHPOaOznRLyQkhqxtWaNWiHzsjR9swhKj4nHbEOKQbmZtHzfdJAkc2NC
vze8prEZfZwze6fLOt84WXQ2yyVbWW29xXVOyJo53eVSZjC6jZUhl+lUO+35118HSBXfFc3KqkcE
LoY2vg6uDrFJ/fyboSH7gbLgZ921Y5ivltfmm6Uasmup1cjw2uh92KLUIPpsbchp48YZNisrO/Op
sC+mV94z9T4jqlshwDjbpftsiSLatkw+tiiexSG3CdsMYyZLjN5INihFvje51DejEauMAzLqsOHf
kUhSoJ/An5wDkiYhAOwdac+rriJstaq3Ml8+NqV8ZQLKAsEoHaIDzHfSnKmdZ+QinbFhxVqvGzTN
q2aUz+g8DmNgfkKIjL9k5Bjwsr0spofAS66coVnXGDlQp/ANYfE7m/f2MJzTJLqvY/sOh8pOzt2z
m6ZiRd2o+7ImDyACHtD2qCFcJQuwGC3qgcnNIbVXje/EuvKsF8PSno0InWrdLZYfwT4cFg1l41RC
L212OpslrxhYZsBZxAAi0k5fu+54choEFcbQcs0rlHj3YI3VtYfkui3nV/atH2v2TIUj1VjwnPbF
JkVnhgDsyinkdiwJOHHIhYnhu5tefJtWWnrAIueXTPNkhnCtoqApZUhfwsM4aN7tWHdvCN4CNvwK
Lp/gKOjTtUQPaoYYRwyifVprF1uoC1wjzH3IAOtRVahpH11pJB2lxvhUlvAvtfiG5IdVGOGuTrVT
zi0ejSHqBBi3Vbut2Zd5ByE2hsGtmQUjuQpEMjR5tem1OiEDgXRaUo4XqHGOFzOPNsL/x96ZbLeN
ZV36XWoOL/TNWlX/AGBPiqR62RMsNzL6vsfT13cVEbZM+5cqq3JQg5xlZIQINsC9556z97fFaIZF
d1aVVYxU0xjsM9OvTZC3aDCqA9GIVL1tKoFqGMrNlFo7PRj25Uu/Wag8EEEo3oDRNSwZ3DecElKT
+EFQ+Z0liEZn01haOAkG+5iNK3NaFfrGt/rHUpbQBshXplHXpI7rhzgcgEX4vr/HwGV5jUHfzkKn
sR76eVFSN2zoSUGjNa1N3VOFWAWzJwtlT0+45jtb2ztPqtChvX5S1dCZkJIkHeJajFTNFemh3tij
yBlOSX3FgO+vYfh/a+X8dZzw28oAbv7iemHO6YKVoSieEWD24w3q5jx4Is7+7UVITIHLn9Lwv64k
POJ43m2AoYbYGV+tQUODCBJ2yoi4c6LBHAEuiHz1zkBWuw0L3MnJ2GP/YchWYJqHgEuj3YwLotdj
ZDEDr+s1ivQdZdj1mGu222vdgxQVJ7hjtynlG6ce6N3q7RjARsjbYJW10ac81h+lMC1vgi7pCXIM
23VmdHsD7SiFxXJSkP1S4q3zVrMeHdW5LeGO0EnZdVq7jTR1PwfT1iid05CQzMi2bcHhSNSch0kS
bh1vLJXHrKyJfvC3Q6nQZ2ZSCtH58yxPhpcOwceKMQAgBb9dqo0WvPOt/tpv+f1LFXr8V19qYup5
VGPaONrjp3D+Mtnv2KHfe/2LjUOWUmrkIJngod4iu3Yr7f6d2+Ltu8K8uP8yM0vkRA2mo6GeI11x
+ZrkcPLevoj4Fn6/9QDRU5Ji8Dcvbr3RaoawgSd1dHBttV/bIaMmuY9G651f48Ud/vNCYjhnaJZF
gDvNL0pT5eJCUxwha5lL9UgZ85VNbXGXrmCyL5HoeI9u7j5uQVscvtxEXvgwLj/jlf/CE91stO3b
H1gVfbafb+S3x/rSxu70kVM6ActIu+oXsoes7LZbZ9ewaZdCn7BS1nzPK8VDq+6GS2dR9kv9mH99
+10Yf3oXrx/5i1llSiyqraKbPj6NW3Vpue3KOVvuqdHdcLF+NLwDictr5xiuxk1+a2zu/AWI2A3r
njuvC/JRFrTOFs5COnSbfN2cSNYlKnXxULjdUfamtbF1tsV+2NT32er27bd+oTT5/cG6qKAltYnS
krTto+GSO7NqniGJ3ymLysMwuwgXeLlW2a5Yn78elt2WNKTRi3cYCHfxEeGS5y+ReXzzvYe335X6
a/Pzt3d1KROIoqKvLZN3FW4dN/TmTbb273J4ZxgCXORjLsBBN13bx2qjfqKRtnz7+uL2vbyrkBj/
eI4uVhuWGgk/8DQe5blYWsOwn0m07zu5eGdTEqvKW9e5WHXsyNb6fgaCSE3t9sNXedwM5hcmtJUM
/qxcvf2p/rzG/fhUl4dJKWPxN6q4O4ZoQyegY8H1/9sFLs582mgzG4UiecSWq8b0AR1r8fYV3vlh
Ls3pUlbauTXxoBXlsSFNoFTB6drv/CrvfU8Xi1ujpLh0rbg9juJXIWjLGf91sAQC+583mHVxg3WI
O7u8yabj0I9eBF2UXG7C8d7+st65u6yLVcn0A2miOcduMJqe7uTLJG1PGhgqC2NqPKjHHgnQ25f8
4+9jOAq4H2TsqOW44V9t0zbICb+M2u6oZ9/reAWekCbf+u1r/PHneXWNi4cmRcQlVaE+HuEb07+/
zrJ3ugrvXeBiSZyTbNRistWOMos2zehES9/5ml72x7cefLGhvPqewoihj59yH3M2cDEU7fpNcsUR
wdvVXrgMTp2b7d/+1rR37gZTfOpXlyQqHGW4GrJHPdEYhtHnkefhogz+rBzmbe+e0Q/yL1xjmXmK
a19L7k27FLv6+WN11nac2tGsLtGLbHIvXL/39v64kb96IszLOyeqBxlGY3tUTmIjl9xmnerbXPHc
ZK0vHnN3hyZv/13+wuGsvp/2gzu8s3oJT+mbq/HF795LDaZsZ6KWWGDSX8AXUE3X2aeLGyyAB23d
LT5iQHdzOrarel2u3w+ufe8tvFhgXv1IEmhqPR/K9gih2h0XdDbjb8YK3d6+ex435TI7WGtpLX0P
PmreuE5OEKuf37lP/rz1/twlLu6TpNcyvcm5NevVuILy4Eaiqtsm3h1kyO0WbqE7H3FoPYLvXWSr
cm2dETwsumW4BSn3KfXeeT+iMP7tUfn5uBsXB0VbcpgN5Swp1ZIglDVUjHE1r+ZDtFfcr8CIVyTX
bcsNTb3D6Fn3S5vqAF/+OlndRgtRJPxdHPxndK+xC/1o8f5GthGywhVdma9R8/UPiBvxx/+M7nFo
q7aCslo2LJO9gAfph7JQ+4BrGzWe0EpzQGaV+kdZaH3g3Mlo3vn5V/+oqwkhJSdOtPT+LxA3vy7v
nF24PFHUJNGKF8WI8+tCaKSybMd+PZ/m9rGyfdJn2neWd/EKr25ZQ+ZVZRtGsq46Kpe4eISwm5rl
WGrKqRklJuErI40w33zr+82rH+D81yu+Zuv9+kns365zUagUklLiiDYwxIkIuvowWN/evsDl/OG3
K1ysygGGJpXWuHJSR8vt9XsLPwtAMkc6OV2/RGDvNf3Hstt00bkFnaNEz3EIfPKsFtdtjk+ctIVq
bxoBBmIm6Toon9shCxejk73zVSgXi/dv71Rsf69WTi2S/HaoxXehkc8FxrV87Ho8PIp+GkDK+mSg
RtN3CxpExf+0zeiddQqAwO8/ukJUtynz8xsM2H59AzkK/LaXrek09TH9OsWp00MCrIARfglA2HPw
6oN4tkECjY1rdMONkg4mxpwCC7YszXR7K/RfJc30VRuIOWWLPyvNntRM2w2+3KBPkmLlftSyeK0l
DkNz32aUE8eQk+ttiYQS9u1KaSd0hdM6nE+9GS2zgIWxklwYMOsa5k2mnv05Bo70JKLaguYOO/uV
1qbQSsxFjwRbHaBy05a2aN5PcblIjDvYN9XCxNoyVzVfouJ1cJUtOVuKbmX11CCjmCQNfVfOFFW/
Joo1HrN1D2DuPjOA7mj0jgvnrtXNBamyRNozfzCiQAcNWNkL2camUyTpRwT2bpYhRncYWy2SQH+n
rHtpKf58LH978PWLx2WI0J23YzOf5LW28bfzoX3U1va2PtGnPrQb+u1LkDMechfKsB0BrIvxo7RN
Vu1aXptX0Sp+Z1whHp6f7+f3x/eiCNTTtLMyccsWyRbZB6qRmoJsVcnvLEd/ujNfL0cXC54dZXMa
oos8SSS93o3fqsCLOg/np+m/8xBciJb++kivH4KLLpfD5681J1JPIbrsMzTtboRM4Q7NMna84DS8
99H+tALi4yEsyXYcm67Urw8dXbXRslJNPQ2Y4PP5Sy+9c4YSL3D5G72+wMV3h/rYIn9dVU9NvxAu
30HyECq/8wO9d5GLVdYZHXOeEN2fnH4/V7vWvFPNT2+v5H/akl5/jovlcWKvxlZiqCcxchpTnLjm
jRMfHRpNLxf6d1dHVxETrqb43v5P8cpfi3KqoyBs/+vXf2z++ufguRDlyC//sHyJqr3unuvp5rlh
hvSPmE/8l/+n//JvBM3dVILu+/wti3KU/20dfW3ZXi7xNBo/y9vl0a74XHVR/uc//VEcySSXcD42
QdhcWM+wXYimLWpHdAU6voufxZH9QcOjAY0P6A2aQGHW+Fkc6bby94uJOfi/4jz7CwH584ZnkRRz
U13EreiaSFu72MYsonDHUZ/q0yRhHSpdFd4crIbcjgGIhPkp0lkKQys8MlVa+7NpXFekA7lzIN9o
vn6T1N1zgdvMHceQPIN+H1rKignGAe2eJ/UQ0HPlYOcKOY3kp/X6SEiadqBJwai4y46qbq98Ig6b
UFoVk3RtxuG9NeWPxth6tl8925i8a2Zo6ZRvE8bQIUm8OC61rWGHD0D7PWh211OSHjtyNwg2OI4W
ZEDHHBESz2ujZo4WBfcGcjmJT7RM6+GLE7VXPp7ittY+aUG67tt2l/smCB1n3+vV0Q/Do1NgVZ5J
Cw3LYwdpWivIHxnVR6Y/m5DcAGeaXIlMy1iJj1Rly74jlKyZF6Hcf3Si5hyG3VUwTF6PgVwH4E1y
wrFWscY63xuiIEiHHzqyGLrd7Nif/QHmvak/xnG/lRpn0RsNYKsZ12jM5HN2zbK+nZoJ6McYnQLD
2iQWkRyxeW802WaempvMbr/k6niU7PwY+tWhN7ONMXe7rJ42HYNwKyi/W3EJ6A4CoO9stUC/sUIk
VCAHNq1Fb0BPB8ayluQqE3pvP/msFfqNU5peiNcQfZl16qT2EKiM14N+W89Q1S3pJnbGrSL7D2iS
sM5oSzMX6aXA5H0RWxD6cuUJaXdkpwOBFRXJGhMhskVkfrZ6nDZlNa7t0oCSPpZo/bGZZ8P4JaeK
D4gSI61i2UzOMC/9xq7jTUww+rYtoKOc9HkmfDyG86+t+zoHiaLgmenHZguJXV4XVZeSyFneJEVb
7nITHVhTYYNDgqZdQSzvF/1EWHw6gp5zcuD+vjbHN6qirhGqUam1wSbOCZiDpWQv+Uizl6vz7Cl5
x9S7BILY2nLsdSTebgiDMUiAmG4jfaoWxFIhKdNA181dW3qUUTgsg+Ye5hDR6iYFW5yq15E9wb6M
EdX6wMYl9U4iibOwtQUJgqdZNVZ6TbpqkwyLhGE95sxneDFXOI8fJewR8VXdIRnkv4VKUHaoQ81g
GWXFtVpAJuyQigBOaqG3k0CBLB+ZYKl/CWBwujJkSrdsiMpsCAYGwUDEwBh/Q1VIdILeZV7fQ2pJ
VPs5KJ1P+aTeG4b5zPuHIVDIDTHzGlmeJbpQDNDlwsgZxYOXoj9QKjgXa4I2olMfZjvwLw/6OH3v
LHkXO/YOfh4SMIkojCB8iGZg+FlaHSd/qFZZjx9U7STzqkh9ENgh0iFoPks17LVFpyMFHpT8aYhn
vuUq+yYVNoCfkYBQC2XrKk7GrS+l61jGD+HMPQAOeD9g7E+RbH3Bfv1l1HsweGPGfWuZZBjjPrDC
FChSLaHeJJGkxN5daeraL9SnlsAJhvZYphpgTwH6jc6MnqaASEJH0r9GPjoXE/qH07VfpK5eNCqW
2tGXyXvyH7UA7M8E8mlWOxQJRB5oHbJCva07d67LuxC30UKOpwl4IL/76PtPGnAIbGe+xf2lrSCE
ESbpDDyiUTIx9uCxrMkm5+1p3zOZPL/eD0R2ISV5AotxyKot2SIm763flXZzGjN8/dPcIQHQtkMo
k6bWP+SyvGsHm6wcCZduJMGC7OTxkITy7RC0eyMP75QJHh/RU4u8jnvX1gdtYY7SIYKx5OZTcl+H
Oj54/FGLlBzh7jYMk3xVD00QelLhYymqEIFIcR9u9RYjfdrrbi6jGyQKCb1ZDmWVxnexGjuVHMzp
uhR555YyptfMfP4+lP27i5H1cyHovc2vxcf/17UIpcHbtcjVZ8Lw/lCJ8Ic/KhEYe7bCXs82b8sv
TvcfbRr1A9AebJeWQ7rhi/niZ5sGoqeKwUKcdPHC84I/KxF6O5x8jX9Tmwb9lo3Fw8IHosoXRwmk
SV2VmdNwkotzHehLRGyLV1/KH9onvNOL2h5EIIWOwSfEYqFf1MQgOxKts9CTN3q8i6wHST455LTo
G8U/Dz0mw+Xb13thO795RfGOXjUpVAx6ERaJjjAEZBX2BLTOnZpCzdwiKBoEpIW961u4YGZi+G5j
rswYhk7lozxctllrLeMgNz+NdJ22pobhaqpID1OaQnM1OzwYBRghW028spa/9VLy3RmlJ9KbzgWw
Z8Q8ekw2KfLhHJke7ooQuyIGDTdDAU8IlblupjRaGYz7sbBHxdqfRlRsY0TQUA3/I4fH4qIQu5UG
UKlddGNT3SETKFwr6g9S5fMrxWT3+LawerULfUJ4iCrWB/bn+rDyikI59yFdDMRsuYyRNImDfeEg
KNek+xrAC6DRT/2sQRgNNz2EtKUC8TNq4eKU9i6MjNENzWJYSWXdwFecrpA/zbdWKzus6cbU5LcF
rJSNSa8lJnJoU5Hj1l7PL82XLqvH4pTSU2hxQx7hIxkbHdcDyThahU3MPpgm2io9O+D73I7JAHjB
RweaHKfZfFRE7jdZ6RAONG1Vq9FX3ZC/peB9loOhX42lvvPh9/ZJeWj9YUma3hZ48VmeKy/3q0U0
TodhGg+dXReLds5kLzCGfdPLjxVoR13H25vl8z087MD1syk5Rl1+zpMWrN1wTOZkJxeJ5Y5o/kmH
AaJUjTaku56AcB2IexNb91WL9T+W5GClZiXZvN3QQi9RIWKRq3tIodauGlvdpxnb+3DSQ/um6Wpk
mCHAyTBEJUGej59G5y6Xboc+RxLLzwLEdmlHDna89psVYqJTzPhaJXPI6bIOhYJCVpjo6EzXbVcg
7qAHaQ76eqj7laz7i9YklkmRF0VR3M65fs78CnD1iD20TZP+ZpzCG9NXtjW5wHZpP+lJTuK4Ud+h
WqN3ENXfc63nbnJAsyCmn+lWkZpBslH/LA/BPifJq9LJ5mYFI/2NpERNi5Ywgck4Dc5h1F/pRgyY
LluPsrFM0cl1o79vmmJTG7ga5hashXQE7rlQsSXKmnk9YQrG9UzFp+n+qnK0B71uSFwiyKJK8Evn
RjptEqjl2zrNCbdhNqxN0i5p5rumHEJ4+i1VVHEb90CmYmL6Op+eR2ern50u/kzG3VVRpZhYYuCZ
2DgnlMJD5hl+b29elpn/bHo6W8Cbmx7WQi/9s7GQP/2x7SkfIE8ocArEVAlkwavpBIML0lcIxDBw
Hf6ClrU+EDViiiGE/oLHoxnwz7ZnfiBDQ1OxI3Kf0GT5l9Cy+kUP7eUEznxEtnXarFxNTE9ebxKW
EihpWhvFSbXxfoD/EOHfolAE6+aqY6AgBU5WKWb3PMtVIPl5+DHDCJ9hWLXx0RYY5K2u2saGdJol
2FGcxwimsopDKlz1PFoPEzZ72ynlhd1wcrWldtljxf8rx6tF8/3i0C9i63oMSOZ16zkuZXx6xGMu
bGOQl8ooH2GS9nh39X4d+iHJywaLUi63JA4qGIViHFJKQEoTQamzX+Clh7a+6cwhW0i+TuinkKVP
EKxMIFKLUADy+16+75UWfPq0HFR0qK2jo+GVKWMh4H8lvTP0yozXrRxyokBGvdT+tPbz+KsTcTab
fPjWXRYK6Gm4Zc3xt2nJykBHY1nkkryWEXvvDUMaDuSMgjjoM/SNdXwfVRk4nbRFJoaFr4BUZQjM
1jBjVDa7uzqqsM8k1T1ZBqeyAhiAWf6gj6SZa5Uvava8W+QSUudB54zr1HynSdVdlWUMfHcq0hXO
qHVZGztCV6DJ93TexEhioBk+I7i3NGCoUxJ96zmQBvl8nNWs50Cpa+Ci6qe0BU7QFYL9WR660IYL
KwPfQfTmSTN9kSJhoNEUsUYQcqwtUtXcxq15nfgT0uGhGRbqHCwrPbNXg1R8rVTixDjXEl0NNK+S
1oWcwVyNTpQle03DHMj4d1/13DN+15yryGxdm1AyT+6nbqkLD2UeeE3cratKu7KMkM6JU0he1cfF
JlGQcpfSuo4lmr9FczUnQG0M4OMshOaNaqpXDmaMZT0he9EzHX03oYm0U2ZYNHpLlziRyXEZ/GXD
aGKE17rq4/wq0P1PU9VPq1Sy10GjmQujlR/0qvoUaxU+CNKFpqo1EfQH18GgHJRRNCZGTs3Ot9oc
QG30Dd9hY26DipYETatD2zWnCI29dF0UVjo/T2OabCwOhk5SPkD3q6AlgmoVR+0ck8kubp2PRSLf
kCv7zS4nryapq5yDFfUYyINh57TSqpbVfZGGx6godmPcHPMiPfc51jycBx37cTdsTd/4PptSRyU2
aPo66tBpg1zr51vVnK+CispGwUG1CkS1M2gm19XXHKbXg6iHcE2C0NPOtfGxEfVS1jn3OTs1Hq99
rZKSkLUGRz3NDcr53M0q/QhOhpPRXbPYcXokuxMoK/Hv6H58CjaN9FRgVwVMg3ZfUNJZiuX5U3A7
l5gYTVH1haL+U2sorXoGyd8JFAogUSdqFIx4XoJNJWpIVVSThagrpY47h/DgGEoLVWdG+QnY/snS
8+8FZWkm6lMQTg9zjl1FSQRXjhrWENWsXPuWS2PqC64twAxJeEUIG8uELJ+zAsYJMfDKCU7bswb9
eSnPw3PX4NXIzPEGOCU+3rz/hC11Veny0xRZV3ZarbCAYEejYvZsvdGhwwWP+Qh3KRnYw+2JQzRp
bWV9dqJ0L8MOmUUZY1T+MSYwfUHswIaADmdnSca9TbOKK+MidPQ7RTZUrIUFrD8sNmBE4nFZSerV
yGNwtgrnhoJ0QwpABG8EVbtFBJtaxogpCk11DavFsAxgpE0IQ3bIaA4rMnzbCbk9OVNLxS6+B87X
qLRumla7SfhO2AeIEA3ylOrJPmetupLJrmQJw9NBy6BGpzZE3tDH67DCVBzFKSeLFmYxL2fb5Jwb
BlgtIziGoCBcnKX9XpeUfMkPOm0MvDljjh48K8MFKQXKgnjXDWl0No9tHWxHkod9aZHY2j6EzYqj
w/oE+CQitJp4u5F+QKCPKymsbtXIXzPLqOmUmt1ypFnmOkHzFddh5Ek4MGrDmukQVEiPaFzQ5Lvt
jPGgy03sSVq17mBFG0l5HIoy3ZbKQA70eCNPxRJX37QywLEUlbOBrzzg35261dCpz4lDw6qxrOss
tOLlLBAv/6mnmCXQ4H97oEGSUfb59w6C+KsfpZT6QQMEiqLCNv5G8f/oIGgfDBh2eIsRQLyMJX4I
PewPNtwGG3WgImoc8YL/lFL2B2YfdB3QZ0BNJarqXxlmMAb57YQPO8LRVbQYNqkAL6KzV+dt9hZc
2nIsn1SNPPCVYbO9aZrZfa3jbtnryYjxG/Y00oGcM6Pz4LcEPvqCUM0x+EubpbeWYFdTMy66low5
tI1fMFdvGzDX8JNwXgvydVT1C1/gsBNN+TQIQHajgsrOqmpb9TT+5uiktdKWANIrOl6uIiDbHA7Y
YkgDca3G3uSQuOdBWlhgddvBLLwCVjcdYl/YaW/QEDBFAOdtJDnDDYmjGaRvSSC/fQH/rqCAB1iY
0/gpBQ8+CE54bMQ3jSCH11UDYNvYZzJMcTK015OgjMulfgrZ3FwZAPlMw6HPu73d+N9KZ9hHTB9V
QSzXBbs8yP0rrFIYD1XpIwqLJSdJ5XM9FXCvQJ/PTf0QgUIPLPq/8AMrjxXsfgSX3gluegFAPUns
q0kQ1RU+gw9iPZrLz41grvd+Ei2hdWENVSGy56DZfcFor+3sfgLaThPoUyYo7gk499Gu1u0L3z3L
RAKRsrJBv1e+cUpUqkkDKHwn6PDTDFDBdFYd2PihD9ey4Mg3AOVzQZbvQczboOYHwZwfgM9HoQGF
XqUEq5zkoRKE+iRpnwyQ9YOJ4KEVEHtg9qqiBQdCkZiZ6iG+GxMPf4e3DAR+49OCaIDiq8DxZUHJ
t63W2Q1mVy7BLX7LA+s28Kc1nOJxyVa2mwr1pe3xPOrlfjZz+jztI//fJi9YFvXeZjNVoTiEcXvO
mzg9OGN2Zx4KJUmJlaftzPO0AEscLqyu+Z4p1Sa26rXZV6GHaCQg/DO5UrpqWRb4zOWk7zHJNbdK
X69jI/moTwobeRe4RADsaR84XlvgucvzDH1OCDWpIYmuRfc8Y/2axGAIC67tJXN9VTopjuJMeHwm
ba0GxT4xdDBcdAcSp77Wk2EXh/iTwhr9oMN3r/v7lqhr5i+RNX3tgqJ+DJGhk2DuZLZrgti9UUu0
xIFr15l0LZdOdYMHMkvXyhgxg5NXiRRCyFb972TuPPuGI2MjJkpWrqydlY8PjVl/aZMOTnRRXFsB
vIkwuVbYPmyCoT3NxPIxWrjlrH4BtLFe2VjAML/qfLhyWVnMuLQx3mB005ch0S+uk1qzF/dN5pVR
tmgZ/Gnm9Hk01UU1jp9sH9enM93zQ2PEiqXtFEmHvArXYSJtc4pjIjC9ICZGnaCpGHJKYkNfHmmJ
Tfq808r2UanqRWjg8lTx6vWZDRgywsMZVez/ieo6o7Ue6DZlZcYP8tACYJzGTiRIez0gJlROgZvk
Fnb6ZhFGzlMWYzRs6vDQl+Ad5ypyVmNmMmNI2MAr+Qid+2tDV0YGVzWNFiNH3RFTmytMktuh1pDc
qHCW1WHgt4UfIqHlauqvpL+f4tFeNLF+J0cBPP6pPsyJZQI6yZd6QsqCbAOmBlG9UhL51uj8Z+gH
3J19tm2dwGYg2G+UwBo9qaLVpmVnX6agDmn/x5FhuzZ8zFDvrgYr34/EMrtZAsM9sHEewwsnU6Aj
2KSe5LVjdefI7B9ltdz6VBkmGqtlEqesf2MuYU8ubjQs7V401yedNOcpiDdikFJG/dE357sKwwgc
lWtf7XZ11bug0QCkO9NintWVadZLTVK2cMP7BVFsM6uwtnKMdi/n88omPddzJgktmfwFjw/cDLX7
pDG/9AZm9Ft4NmdFDNGC4FqZ7YNjTz3gCClamfOwk83EA7MdehA64mUmRWLQanQQt8ezlkrEnk1n
1bG/w3Fe5dhHG7NdNrUtraKoyr1Bak9TW55by74fIzAlmcFkdMwMB4yrmj4lgPCB2PTf46bbE1T9
kHY5x77iEDp02Lo6uqH+X6i00YwA2EKnlMdwRM8bz/eJouJp75MHVuBlkxvXteSD45Gdj5JZP47V
uEeiV7pNl1meVtpeq4R7lQFWOBqngNab3ooDqT5t/cohckPxyVbeAH5OHoBYD4mgESkraW4Hzx7t
ZSpHW9UQYSZDNi/GIvymIwdYTH0xgr9QPjvzfFJqgDiUC8EiwCM70m5gbFp9t6CBeU6LMD4i1KKj
Hb0Ii+ixiNVzkak3dAwHAqR1XOnNV8NWF3SCKdSnU2OO21ll/aohhtC3y+/HSXoox+IujSh+h1xb
lCnnQJvhQp9AnIOAQIuy5Ozcxd113ZJgZaRQfnSBvzNpE4xeppAF/Y4kX/1VlEOnB3UswxWV0Efc
EirSjV86PU3FdGZyNOek3Gbuk7Hqz5XHecZzPt/dNFeERC8Lr91EB2MNUGhTrMKdwSz6Klz/p8D9
q8BFxfNuw7Du5j8UuUL/87lp/9f/kKBOocpRFINalhaf/QsnlfpXAQtKNW2jmLf4q59jMuYYL0Y2
mngCSfCzyKVfyG+vksBqybT//rXATvRZvxS5L/1CxNQkOdC0RJ5zGUXl+BJWeNsuTzkKhhVRMzWg
qVRdpMRkRrVmL9WYXn+DP5EmlgUu2Wi3laF87+n8uEWWDTuy4TViMkCZtHK3CYpgiTMcOFPNYKnI
cdMLunpsxV8GvwYv2iOf6XO4fGnb50srYzmXysk5gwq7N2oYlNWgTZzj5gNOrXvEBoUnR49+rN3R
Z8pPlqBtFoK72QkCpzwq0S5LIdjoJCIkjnNNu2l0mQ8/g0PtVpSdw13OsY8x5j4ux2klj/lSasYb
OnFk5rDVp1JFActRVK/WhjhL9hwqM6u+DcUpk1L1qhHnzqDV1gkR3p7PkXQSZ1NSPvqlJc6rGgfX
IKpudWdaheJE6+iUdHUdbXsOu4oSWt4wDjimRDzBjO3g5XA8knchjssjGIFFWuPhBAnivxypxeHa
EsfsNIIQmnHyJhNn54ijOIHsy5mzeSwO6ZE4rnPmXg/iAF+Jo7wkDvUkaZPBBcC547yviYM/WAgg
PrQCAEbeIDy5KZpvKp0Ci5frROsgEk2EUGk+h2yeXiMaDDqdhli0HDTRfCDh2C1EO2ISjQmTDoVN
pwK9cnGuMuWqEk0MWbQzItHYYM6rrmdVvdNF0yPpnYVNF4SwYmdHsw/VEQ0Sk06JLFomBEStfHoo
TdGeB3oqbQo/nx5LIZotihE9OqL9kotGjC9aMg69mZkezVRNT0hVVvTAPumiiZNp/Q3dOqZN9He4
8khQRPrci9YP51VUxsoEHo62kE9/yBGNol6rvyiidQQUT0WowYQ0lDKL4q5zSDrLm4peEWwjJqoo
GsojkYDWrhTz1vFl9Gq9jGG1EpU03Gq6e/aw6w3NtX1rVZfjptX81WRow0Lz64+Ozo4Op4yBackl
EMMgutnUA466zuArtgN/LWXhfK+VheLqKpI0rbRu7crct8r0nIYVG2Ri3KR+GOzNuV/OWX9UQwRc
7KWIguAxgSf5Fs+lg7rJ+jZaFhWiDSzWIH0Q9GlzDXmLr7i+8hlbLqx6KHeFRdeWAyJJY/oyKBCq
+YENTXic+IuRcDPM2hPsCf97WvpnCFLdQs9aGXVORxpUhxLYn9N9pebycpbNahN0QM9gnhE1uhti
tVnAL/gYE45BlGrbHoh3hf/HUfBZlv3krpD1Ei6cTaGkpCFkv//sTn/tToiZ39idouf6j4hM/urH
ziR/kLHEoDujofKXKPRH+0X5wKgKvSjefFwoYsj1z87kfLDYsmiICP+LZji84D/tF+cDylJEFwI3
pepi/vWPqvZvOQWC3P+WuAGK83Jngo4pukNsTLAyMdv8Wt/MWpiFahHJJ82GauRnc7w0lU9F8E1G
MGowAqnN/BDZfedGg6MehpL/v1atk6nkpw6SPli8m7TrPjXN7JFAQyBYEj7ltbGuWP203ObIwnih
sT4qpg6Qb2yXs5XsW8NqcDZQ5qtBd08a8x3Oi8rtHDn1qooBkxyVH/2YxctQ9wZpIZyfP88hK048
P6m6VHnZ2O5Czjn4fi2OvdGmQYrixvn8xIlmM8DQR9HVntEpfAQqfD/bxcGJqyd6WsRXG+p3achh
EXcPkONAGXbGqnak1WzN58hhkM8nW5dO3HmDQ1Ze1Jqu5tvQYvxh2yJBJA7IdgPSgKyKkULT2+6U
2Q/VoI7MdyZrO3eJ4g6+vo/ltMDGK23MIWK/AI+x6aRpXegwCJSeXox5M5TdDd2V+j41ps9pyfZg
VvYuCOVHmZaQLReccuXxKkhKA2UiLE4jzjdtL8WkAnR7XW+2piPOT76xm5RvDaEwgd/dT8wAOc+S
YTLbA+RM6E7p/2bvvHrjOLa1/VeMfd9E53CxD3AmM4siZYm6aYxIqnPO/eu/pxgkhpG8vZvAmQ/w
+MK2KNbMVFfVWrXWG+gFxZZ+p1nEAsdQPpmjC7VU5gIl0U2vK9wdhq41ifbDJqyGNSpBy7wNTpqK
OfO8WEcM3AvNElBI3ZZndc+tY+laYbauDXohx3UWoG6k53J9mNn0FGuLKxy2mxg4FJlcIgh4b0FV
3dtRxW3RcRky1Hph3htW9fQH9HmCHR4KhFRvPIrk81x3EGIuiA54X6XCBIvOpLrQdKyOVGGRhVDR
ohurG6QtqdJHxXeRhEGcp9skDLYsYbXlGejOjflwbGnWmeSrXJfUnDFkc5ZJ/pe4169TG+uutm8v
iRRYYwlbL70wbkN8vtShvxtrsAAtDmCeqbMUEMhGO4YGYqUel8IuLBTGYbrRfujvrcScaKP75bUd
GfUKHe54aeA7NtTca/C9CIWNzC0FOiGU3/WsnNrBuRfrMlmYmMUeDs3XcbtIcTdLAXvqGJ4ZGJ+p
tPTI144xM16HWX7RaqG/9LFKy3UkjEzM02JM1CydMpcnm59dVPLXBn9io5rkjcVFgAHboEsVVbXr
1DCAJg9SdixZ1hgsGIoyqxXh5e1LBBCwuJKPTmLZc0/teOKhX3xshsw7jHxfFMPOwEce4aH+3SQH
m8dANjEoH6Ly5p+48hBXOOt/E1coVN+VO248/NaPuKLgjqMrFMU14eMgWIHP4opDnR3xAqF+CMvz
eVzBp4FYxGXEUTDn5bb7FFfsA0uDzyBDKFAE7/NvlfWp3r+OK8gqIfBJE4EclAv0q3tzq6ZqXUjO
cE6Eq1Zo96TLih5SBFMfkgDnWtjjbtsaEiVzN81Pu6655MBbG3YE9qckjwl82Tjp074A6aoCGqj0
Ix1i6jwetGqlKjWEb+T/Nn1b5BeqDuYAOVvEwBDKx34q++KMII8kQ75J6TWSqo8XSQCDy+2yeCEh
ODfTPOt8tON2nmatTDvWiuZB1hFibI8+Jjkqpk/qRaRJ8WGbgIBKAPjJpW9sJKvHKUdzq0Mc51Ib
6kJqzIM8+qgr9l0XFZeAZDGpAPJcyqZ0GPZSf+Q5MbXa2snP5YbKvapiCcsoLkVgcJ/dQlfBeIv+
nts5p3AXETdCJ7332gs5Gv9MmvwT0esYq8SvQK/WYZ7wYcdOncOQONGNoWebGqdjbt+ODkqv+PYV
c1ttjwcLJ13AfcVcauCD+9heOEDXI18DNG9nK5fykiUVp2BUvoQB10ULB/Z54CeYjBvDtzFQzwha
/A/Q/MD3Ys4orbA/VJpNFMMxjcKaz/u5MrD3AuScrZSoJmfInfYr2enWqlwfN6L+WI53o21Ts7Ha
47Q3yrlVWvasqsA/pE2V07lGe7K0YSs6HiXaTtU/53gaNBLWjIWeL9teBU8+3LkI0tGSxJPY9bbD
kH5vLC9bWJGRLmp95Got1zFNZRiU5WDOLLOQNyA8Lvxy3NoFtpNKjf6tH2fmvNQrnOpMPEvU+s8w
zC4aOZE5+3K8JmKazAWUYKxTfS1dN4p50Xfe5zrNnVmdVMdeWceLVsK5yTZZrjZ+0SC8PXAxwyhv
rDilKpSgLJQJpa2gcP7MXZh2CYiFojKP3c4mxhUogxE3t/IwCk/WbGv1WglxTQoWleSOG7em3o+H
JqqQng5sQG1kOkFjvuh1+KJ4kl1arsWa4ua4Qev0tHbpADdp5MA5GSUumkKVTtePqfddmIqPo70G
6b5P7KVRmSeJqW5wF4Xe4znnfVpVi1hSYZT6yqHsga9DtRVQSAfsHRGx86yXDsusBqveRTfU3z6H
iYZpISLgeoMlnpfccUjBlqEIDf79rO0MeQmLFixqlbYnzlB90HLtNhSBqsr9jRYP37rQOevV9DJI
45DC6Xgdg0mfVZLhUf4Pw1XugcKvXXSvswJEox/PqKLfhSOC4oPqrscGP2yAf+as0kVJ2wsuM98D
9eMF8RIL7c9pl31WSh//qlbflnL4NTXps2BKg4NghvUeTf7TJrP/DEvpGBHlI9tJZDIfY2n6+ZGL
/SMqow1FCgUZNUe6rothTaZzkpVJPOvQ8Jr5nvWlHhE5jDzN2bQ5pthVAme6o7qDjqWjn6tRZkuL
whiD23/C4kNYpAL3m7BYb8mD4m1T7QiN/OaP0CgLozcLsS/VBD3+QtqAqClimw5k5j5s/gyNoq2N
PC1+bhaq1UTUn6HROsD9DQcxWmgmiv/m33NN0gQ48BV9z5b5CBjUCUy/zEd/Dh6UbEmLyj7Ozhsa
uONpqOZGeKbocqgua/rZH2g0tdh1x8aZkRcfQJPd6J7fLUs1uWoVEHWJkpwUankNZvgortKPQYL/
uqRmCIS6p/jlnVJGx/zd6tY4Q3oQlqMTX+4+j2F6B9Gtn2WtWmFUa2YXhjeulATMuQ+TvEFddaHq
QGbjOjytAb/3FE8Xpdamyjdo7TOMarx4haa/zSFhaWVwpEZmjdU0/qPjTG4dk2Mq10K0vySZrpWQ
krZweFwXlnNkxghkX2luTcXLTboQWzXH8/WTMgyq67Bz00XTaom6aps2HOmQhscWxquYSjlG1S2t
0pAWzj2pjM5aOy6Le7JZck88I4v+1pjC4zROP1uCnVb73dq+56tBXMvdzF1YHVy2ULDatCY7DQTP
Ta1qcDlQ34rRRXgOMlzmYqQEOU4qx8MaslxrJfO07Q6pJXHa1yd9Z0D/NUFjQrMrY/XjUAXbnCwa
tp00y+rmFLFPmDJQ9GzRksUY8GPbSIcmJD5A5mc2pD5VK2eJ1G0wp6H5nGw8yH+eg3g0ZMAmK7/J
kAMd+E4qZMHIaelDWhtX8c5NfJJmRZxfxtALrTRYxLm87ozqY1nbKG1zl4KOmND8k6EnOnaFqDh8
RXhFKrTu7ylWPTqERg1iYycIjjnkOLB/LsRHJ6qvS4iQVmMvcoiRKCyfYYt8bgORpFZ6lsK2qCBS
jl122kKs1PHo4VnO87BbYU17FrqYPUHEHDVjRWJ7BKxhDQ7+q2qEK67Op7lWf/MymJzi0XuWc6WX
WN8lytqG8okAbS2u/VA2fWJieFaa6gXuQvN6lD4ZkEZjLkUzJM4XeZQcVtBKEWSbOdBMKVYCFIg/
g2n4lMk+bjnSys2NEw16qgpNVQ7J8cxBOekgsLZ8iLkDpTWC2upCcaXwPy99+JFQX6WAdhpU2Kwi
AbKH8q60VJRH+4+lYM26XmtcAHpfB2YHo9bVTwdDTc7LGGFdGqIQbwM102DhtsyX0RfnMtDFTmFJ
NcJMWKAaC4FvzAE6DgAeZYCPeqLRTvYueoGI7LlstnFsLTTAknU4sPxAT+a5uwbaMawkzf06lvFp
J5CWdtJcRUAvNUkDAiHQmCg4Q5O8R2gKrKbkYxqSt1IKH085dXX9oy6QnbAm6lko0J5t6HwIgX9W
Oq5rAg+a0xYH92WFKzrFpzWgUaCVc4MkTAY8sWR18LRU4hzmyx8KOB3zFPCpKlCo/lDBV8Dvx8WZ
BJiqAlw1MYuzXOBXuyK5yQWiVR0lAPxgXEOBdqWWcmHE9mEmcLClQMSmAhvrCpSsRMElkyk/q74B
+hIoLeYFYGrpZVIX+FILtO0gcLdSMp41ghkKINcUyFzJBkiZo2XfBz6oxrD9aALjrTG9JKHY2FIT
r6Aj5/Q4ulMQ51zmBQo4EXhgRyCDVYER7gJ0n8NmOMkEftjUgvMIQHFrNnBq/f7KMw3WO94sKeDj
1o7OXYFGpqECoROAMl31FJwgmGVdoJfJy+Jj36DB/E/sv4/9BjfIX8f+qzt/uwvpJn7rR9xXQLqB
joUCQIy/1y36cSXWDiDzE3RpvlFwFVXQx1KrLh+QJxCLiceEeKwufsZ9qrBw/C0Zg1eLX6I/+Kq0
+rtSq6GAmXsZ9wVlX5RubUhzdMLIMJ7H/TSmwRzzMc5bx4+qRajhXmjIEJdT6aiJPahUOm6pUjsA
GW0O+25QaP1hP6K0zlFtROY8p5K88kLMH6QMIGZIKpoqQYzMdrIMm/zGU3vS1bGGRrPGS7GRFprU
/FlxWH8coK+vzdJ06QwMgM97i74Q3kG51ZanXOKbmeGpaJ9ayrcaL3rZbepN3qXk9CFWiiidR1jH
U6hU+gsL4ulFQXkJeHuHNkycoi1mm8ksdkR/r3EA0iD4CuY3Wdp9hH1iI22U0HKXofAgt5vgVknV
nvtuS3m5ZrOCTAAyAyAaIzsNqenITZVzVw2RV2tS/gwzuI0FFXyW8/ajcMAuLRkvbAfawSj8semg
FgtH66hvuuchFto9Vtp1yXFep+q2Rtj/2BR+21ndGohrhx8zoxIJ0HEryUBYTA0h84QMfxTbu8TC
G3MLzG/uXb1t6VOOzbeD3Xfuy/ahUYwfyi4aFuCWPgNtv8mwCC/AECB64B8hPvTBqN0rr8WrpaME
0KIfUGIzLmM3TiZDy67CgRwneQvMePYl7OIjOPjXfYhb+YBteS/8y5vaWQUYmhupc5cLh3NFB7AW
CtdzciJ8Z2LSK03YogdYEENkwCpdxTPdxjsddH4C05iScJwa/VISFuto3eOvVlWfzba6JuzOM13N
lhEOMmBxAigbeLVnGgILiQw8vLdNb1Hh6J7x6ONYbbV50Mr1Mh1xjzSh1M09vfmQV3gRyFaHtNHY
3ODM/qX1o9uEqvjK1ZTb3I0wIu59IdSgkhDaMBbJ3FZmr7lzjFs83h6CdCPTdZCx74MireBAlOva
oYQ78dqzcRTV7IyNkNnfB7jOelR90wSLy0F9YamEVbRozOp7l+Ymn3ZI5uz9fJ6nUbwKcI03fRde
XOngrxCwR9wec8k288eFqxRzUlxt1g3t2mtBn/l2f6617kY10g8gls7NyD6UgAg16iFsA7c7dRgT
q6/LvOhqerIWd3nzs+Uk51FacB3UwmHhhmj9odUuF8FdldZfcFeAV9dzZ87C3FlWllPOMwcuaR3S
cY3yU1Vt1pWUfKq85jAqvJMaONlGUREiVwEdxe1Gbzo6DjQgYMP350mskrXI8bVfBWeGmaczU+6s
w7CwTlQnOQvqfB1LGjyQalChm0RoUJg0fz1fQQLRU4LDJgxO1CY4AUB+HStU1WzC+8xU3E+6ZXxu
yupcTSIdkFzmLHoc0LEV07HDSmvsnj3EaCkgrT1yP8pdI4ixIfnYme5ntClSsFcQ77Gy5Ojh9wAG
ooxMgSQPo0N3LO+KVNOXYH0EK0jdyDQ/yRzQJHaY1nlb+59VV7uoO/CFWtAMS+CyOmYDpbmJCvk7
+tbHehCcBL4PvzKmuxynxUJOguvR1K5cl+eOIRcCAIjz05hQPhq2c41IJR0LLb1QJQzcwX1Rp27W
pJTDrEhtF/Hz9qKE7+Gm6lXrV1TzkSixYLAG4IpnrpVcxAUmHFYgHfld/Ckw6nQh1/2ROdjL1ouH
GYQvYx4W1PTMFJPqWMd6e5T90zHt6FBTiVlIZfzdG92rIqeaOCjU/rXAz9e9H96WOSCtTEHewe7G
Bf05ynimLh93njRuajtfWR0N5bEYLwZITEupRZgicrzLHvZko0obx82PsVdrV3peHgFsoYSm+B59
M3yGNACt89iETApL9UtCWR6dsi21pmDdqzjL2JCmKYR8Uo32ZMSxdJaqwVJv9VUZekukT46DvKT5
42J1xiKadyN3OjqH68FSbkYlPzU8zuxeCIfQfSiU8g4g1mnd05zrvaWFr9CsGtCt0pTrzE4XbkTT
rCdfpQ++sWp4bl690lsWgcx5pBEpLFyJFmCm43k/WFdQlk9H3biLag7KQDOzJciODZu7n9WYxpFf
4lVeOeelM3prVe9A1CHHZcfcYK2u9IEIY4gAxrXEW4M2y5it5cHbEjvLZRb4DSL58BRkTTPPbRua
kkQ9YF1W5ZcgUi6NtInn2eh8Uqz6OsSsaFZyLswqCoYzVBRQg++V1aja3+gE9uvSKQGdZt/KsKB1
b2e3Fe35mRPSkU99jUtTFBoLl+s7MQ9oNj/rcv+4dkBM0jsDbyBlaGo0t64Z5Zyixa2Gbk8YOjgW
Sy4w09Y9VXIworo3+Csn4yLo9VxX3RCdFHZZMXdtA41omV2WB+kM74FV1nibAX26pcU5KVG566T0
cshGfx1I4dfIwvOLmhn9XnS63WhNHsEzcNtLxcgVqGFgdUfJOsxrIeiRwuqjV2hBFBzxUJWU6hwa
4cIbku9I5GfcK4H14ARGwc47kbUAPFydf7elFKyQ7lx3QmBHKhJIJ6m5jXxc73K8BuWicS9KvFU5
zSvHPdVBfvsB6TIeVr59KNeRU5xlMSZp5qwMZPqRIaWQcSkrTuE/KM39w8A1yG1/nUf/iWJWswuz
IH7tKZFW7ANTE2AAsihksIQA6FMijeMnbG3EIwzdedSjeEykNf0AB2cVKofu3DNDniXS2oGq6KpJ
Ei20JwQ87+8k0q/TaEpwAtsGckIBSq6L8tozwkgvS15blmlzNg4RTYdG4AhmgZ08YFp+CY1AFuPt
G3Ez0HVFWGOpNF1evpECdK4wQz0/kxvD+YQpJolbYsXDuCHFp4Wh1WmjH1bs/EsIW/g1mQqKULbl
XedZiISkNzjHipXks5zyVf/BH7SP2pC12cIcPKs6bqOw0r62fWHaYIWKtgX9Q8m/xdQWiLoUo5cX
o28R5HmmLrMubkBwSR4ei0HlphxZg7MUZBl5UaU3Rqx3Z5aex+d6I+dYXeVAl1eZ22vzGOiGFAvD
UI7nTDuXW2Ek2sbheVlHHQU7TF1854OmyHcG7qNp4a1c3EgtCu1pp60NYVOqynwLmuJLB6CAkyyN
Pjl0B+STtIjaY4XRaTwU333b/4iUw5mCEWqjtZexcPHpIO9eWxFYNWEBcSpZeQnn0zCP4sABG5IA
sxtVdAElSfuuhxWgLRcdnLQuEFJuwScEsYS1aicEMJ2zKqWMwBnMaYgo0bpOrU+DIn3BcaVYYDME
kLCuPRX4BsoZLAsXP3VQLUtbF0PAx1Mis/xU6rXWL0w79T9W4MyWjUXTyunl/osONYdZxNMUT0XU
gnSpHBYhcMHCrFG3kFARe7b3HuE4f6QN6h1Yd1b//pfKJnt5JeR+qRoytwKdzcGyfrnEiqEsPA/F
kTNMurcEN+UStYwZIDEwxSl1P7wpvCVWn8tyier3kb7SlhQ65n8pbihKzj9L0kBgcQqxkGc0DSHS
qtivJBSNHokHVKOyM1f1jobY7+cRPo3gwXWM6qzIWRatK1Q1TAis+K+felbpHik8IzMqkvlgoV/v
ytRF1fFr3WfOqlKhf9d1vnLt8atl4GAXukA2qPJ8poZpwVYthrlVUQIiO1DpzpKvGX6/HDRnjXzU
PHTReNIR/h0NZzNq3PVUdY2JHVpl2FLPAgeSUJJusEdfZBooUOTsll3nnaggDuFeAPdsYTEkSQhD
vS3OOjKWdeEJGobmffLoGitactr0tixEx9ZyxEKznAKjNTm8/P0jfnmI3IOLHROZYc5LmhGa8+oQ
cUa1c/LELc/kFk1YDgLkAko5nUuBvzQyQEF68Ve2frt12p+956unKfWtVbaRV50VnnZtuCVIIZqk
Y2Vt9KRB4oLapGfSMLdA2BgxBVhDT4eTEaNLdAaMkyywv8hBRd+9kr67kb5CW/ZUzcwL2R1vDK/4
mnQ4qRVpkT+A7f+JyQIP/uuYfI3aw9uOlvidp4As4O1UoWyEJhQ4mYb2MyCj403NSxZMUZYZ//mj
sqXZiHWjmIQFkM3p/YrDqSlIR0K4dChGwQ39OwGZ4tWL4wN4O1drUydv5hwBM++8qmwheBOmsRpi
Vlu78H1sGuFueVWriT8P1aFejEqaXQU0r87VOkkuq8bF8lpW4DGNLjLMkINp+rv1rNC1M+EMvqxj
+ByDFUIjN1vgWrJ57BftN6fp8qtsALQQFXH/wfG8fA7R0Jo7jZtd6VV7WsoNIOPUWbSBn53TcQfh
1qXeR0CB9PHxwlx6rassKkX5lKDytInhMq1DTgfaRofaYF95RYOovh6ivMsRch4HfTJHluurJJvd
xunsP7GmDz4VOs0QXx3SVT06aDxEBFGFKTjHNMJd9XLtbCA1CS4O9gRYx9IWFg1iDOydDY6NeNjR
Pc7QpJnpeUgVr0lOGupPEZ3mTrSca3rPjmhCG3Sj5UZfRpYnL1X61BH9au5pfzKbp5loZMuipZ2J
5nYa+V8Nut296dDko//tFdHn0kjjJSJ96DvRI69FsxxmEyC2FB0B0/M2kWipSyYtfNFk71PzyEQ9
ifsWZT1HdOJr0ZP33U6GpjNe86DDuWPml5nknuk08m2wl5rL5V6nxe/S6pdEzz8S3f+yxiytABCg
gUrhrjGeGRmPtM77BS0eiijaN9phNJaiG8nFKzXz/aMIuIEpcAdcuWrkScAiSJ16iAIZDmYNWLgO
wAJMDxAgiaA0wbgUmIZMoBsMYA65N17owB4ojPiYIIKEQN4BDT6BjjDtIrLPtQEQyzfB+BkOrZrC
JsKEx8AKRyoJSuktYoM7pW8ZdxIcSyT1wG1KA3QxYgRWjgbFgvgI+fByZqGnOFMT5USzaFfEbQsl
SlaI2IYdrAcjWtoF/Spw8urH0jBaegYlEg1ehL5HruMqGgyoQCLYkYXOSpahX9ENZpJJ7w6xNsJx
xICo2LHB53idbjQv/xinKRosgX7Y28gW0hGTr1LfBcqnI4iWpT0aWxjwoqeTLFS3m4+6nM60wb0b
BnUTSLZxGBnGVVm7FAvTeo602tyynDOAMPFhpxswGjtAJlZsHkp2qZ9b9UAFFiXMea4EJpwv/bKN
BJ6oNk5opNA6gWcwlyXjqIyb4EgZsuNCj5XDIgt4SjXeXtqXSnHPpc5bdbAEVnoXrGvU8GGMJSVS
Zlx9ud4u7CL+5sfGys5ytjrbJM+tnolNvuZ+ddRbXX4YSZa9gA+mnPvwlxduI/kfuRuCkNSpMDS2
e9YWUgZSA3TQ4CCdmAqAFykCdPD+YlDAa6DDhkH8MOJjrqruRi5qfWlXmb4ePNdZyLiPHuZFegzw
Futzr9GOKtMbj4pQkdZ6hi9vBszMlLj2j9FwhIzXl1xKtA9qiHsop190KAW6M/eRIZG0DnlUD9ut
ML8urND7XqVolvhs4wsrDO+wEKxVHCo1aoP3YeP/g/j5+BF36jr/aJKIn95nwlfZ8rUy9H/0l54u
jbsH+ntC0WTaLyLy/Qe7l6r+7TjxtsYa6RYpak074AaMfoLATIoXI8ZZ6j3+mMuAdUBWLavoVz1/
jLs//Ft97F/N1DtOgkweMXES7ANwpirXfrpk4kXkfzEJqnwA9Q6HDZ2cgfd6tlD+uy/4n0zUb58g
BZCgHg5v//0v5QFzNHkSaCGihkHTkXrJ7kmAgmjjtmULdun//SQ8zzUNw3lYnQ91kR+L8y92Ak/5
50awDkgzTdNRnIev/2YjOAc4zFCtIX29f+3DJLBQX68Egz+buB3MAw31d5Vc/ZdTAV8c4JdI4f/v
V8KOSdDfYxKoaoBXU8yHx02x4eWZgKYtXXAmaS+2w45JEGj1iSsBOCFXNchb1i8nAVAhkjwK07OX
K0HgFyZOgg7BTVU16mu7J4FCM0qOYCthWYvXQ1DetxiBY/1/c0ayrl4ckpTLba7O2sNUMLmvN4UK
LtUSuNO9XA6iNjltORAnqXHCWwSVef/aMQcOfmTU2/dzIVCDmX460kCBtcPXFMuK15vTkVoP4RRh
772dhNdIrb+fO9NgcuC2wnvdPQm0mShIWxCHHrpZ+3YkUPKanDZqmOnZKu0y/RfJArmzZqPwbosC
716eCY8H9t/LHV+ei5jmiMolfbbXByKnBdAHGMkP07O3u+FhhU6ZAwdFY65IbIeHrFHM0PObJDVe
GX0tCAgPecn+7QZl+iSQOnOLhKD+mCsQcl9MAkcCjA6o7495yf5NgvyQzk5YCbpyYIlOoCpSR/F6
EyF1loqukSXsa5oguujT0gT6Flg9QOx/zJRE8vViJXAuklTDnbn3cdzXrNG4V/mZOBXqARgHywAv
/GoOKC4pVBzo7Dxul32NENMzZxIm+lsKRgWv5oBjESqzgnTF3m6Gh7vdhBNBM8mZFdryymPt5PVm
EJmSDciPksKeLgHh2TJxG+AtrMMoM0wM9sTrTYBESQVwP5fth/fav9gg+PkTJ8E8gNN4D6F6mASS
wpfHonIAbZE65N5eIR+X6JTt4BwQ/qgWkBbev96sBBXnRkNBO2dfa0vCS2LaShD3aBssGYi610tA
JyrQ2KfO8JA/7OmRoEyuJWhERqKiwWLYvRsU4wDzEM5NLhfita/XB+Uhdk3ZE2gVylhwgf54eOhv
QoRo0jgmdP59PR2V6Zdpg2bbfVXlsR3H835xOhInRUFW4ZKxp5tC8MSnHQxUFDDAoWX/lBS+uT7g
nYMeDADdvd0O0+9QEPqoKwFrejgYRJPzxUoQLUmhbA9HcE9XglDbn7gS7INHsYLHluSbSbi/WZg6
62VPJ+GxLzLtYKQ3ze3AeqyrvD4TWAmySRPm3r+JCd+/tFFoV0xcCVQZhb4f19GH6EAMeLkdsJHU
QPxaohK9l5OgTs6YHg5G1oH9eCi8XglEB+SyLCgF8l4nTo89gSmbwjng/KeyZD0mTq+nQoWsAXZY
w958T9fDYxV0wiSIOhuim+AxnmpMbzcFUs34jpoPmcn+nQyPBcAJk8CmAALsmEhg/+JkIJIiI0dz
Vt/rFFowgCYekmwKCE/gmB6rLG8OSe7WsDNo1ezrtVKbnkILzXO+JBHzYT28vkeAQkcjVubmua+T
IMqkE1eCxr2S0rJt/qozaTFL9KQQT9zT4/ERZDblZACWAckOdclfXK6pvFJhoIdt72vl9bFlOmES
iBE0Zh06To9ohTfFFmB/kLd07pT7uhKmd+VYCTThf4SINw0pEidulLZD3rSnk/CGD/v30Qo03Wz6
r/KvsFxiEhwKUaaQctvLFFoI3kw8GGnDmDJ4BPshGdh1reaHMkvl4ba1t8fj9Ms1j9tUEWeHdXX/
enO5ph2h0Kzf32xBnZ4y4RCIbx+h8hG9smsSEORS0Ot6eO3p1tAmV5xIpOG/YV/IOfj0VV9fsVFB
5r7xWOLbv9uEkP2ffD44iG3StX9ModlmLydBPqDmRjwV5jd7eUi+USD725GCzgz9BhPQ6y+6tSJx
0sBGo/i411cqbXpXwoYUAcgPhdOHPfFmPYj8SvxD1V689jVeaNNDJ1050gewGo9Ny9dHJWAOcIAy
x+me7gxtesykDEkRUhdy8Pev13PA5VJ1QH85zn6nD8IkbOJJaZBOqiYJAkFDvN5U4GhQ0MUCAbyv
6+GxADDhdgXIS9RTbIFn2D0JYB6RmIHXvq/FBn16zNTh7pMxk0btThy4WJiOTcAA+3n/2tPz4bGd
OGU9UIwECAys41fFSOVA8KZIqvc2fZgO8QEWj22GKKy8Tp4oWCO3pYDu2NMlYExPo0VnQgGxQTHh
/vUG2wMzAlyPDcTpP5+E/yDX/sE9nvtBfHtPTUaj8Z4B+cA2/cu/8MTJfTvAM5LhPdXyxd+8GvK7
h7EfqIji//9ne4vB4iKo6jK4qdX7nuSznz71KO/f6fH3H7/i2zd/8WZP3+vpDzeYl23LG3+4/8Hw
+EHPtgnc5v+N+dft9jVFUpREn/5MvPe///Xywz6LjL8fHUm6u6eBfjJxZQ7Un1/1vx082d5m5dNA
zwZn40wefIZ++a4PzkqdPPZ8G29bHkn1NNazz856nz5+FjfVm0dKskV++w6Dp3W5/WOeVfWut+A4
m/wWi7v4j7Os3Dn/nD2Tx1/GfyyyksXzNNaz+Sf9nTz+qkT3ddfgJJSTB1/Hd2n6NM6zD/4e23XT
JN+y+LZ+O7yAMk7+6IdJflcG2/hpqJ+fXqAEpw+fDjsmXaDuJg99fFfumHPRDZg+dJB6Ow4CQbOZ
PPbJNtpxhgls7jsMXVV3u+bkPTboSVb98b+pdxff7ZqZ99iip9tbDuCneXi2EN9ji55uy2DX1LzH
FhVj59mu011gZyY/1tO79Da7CXadXgKQ8g7jlzd3t08D/Zx3gXGYPnjGZ38a59nY77FNT7Odc/Ie
u5Sh8QC8G3Z88vfYqWfbfMdCF63jyRN+dtdu3+aOBr4L7zD4ebnlCHga6NnjfI8t+iHe3uzyXRR1
mMnT8iFukl3JnSi9Tx78Y0DqWAW3O2ZGGFpMHv9ye1NyJUjrHbFU1Irf4Q3SP2Z3abDzDd5jq15u
xRuU6ba83XmQiTLvu3yLRXDn7Zql99i14kus2AE3QXWz6z3eY/uK9zjKtkWzK1qJQvC7zNJJE1R/
nH8LqnzX93iPzSy+x+m2vts1/nvsZ8avt3/MtuW37a6cQVQH32OmeI95vPsd3mdji28xL5vx6eP+
PFOFFND0r+Bvd94J9XfZ1L8zYL/X+ZpQprgMqigYsuZpEp5NzLvs5Sze7soeRL17+qyTmOyySxLM
gumD/5UP4+SZF2WW8umTPpv399i3v3WSmvrJr8jxUZd7+9GFes7kib9qOAl2hHjBf36HwSkQJbvq
ckLqZPLwvzcemDrvv5FQnjx0821HpizK3X8xJ7vKsj84Jm+LtU/Chrt+7WUtWvyNm/huW/7P/wMA
AP//</cx:binary>
              </cx:geoCache>
            </cx:geography>
          </cx:layoutPr>
          <cx:valueColors>
            <cx:maxColor>
              <a:schemeClr val="accent1">
                <a:lumMod val="50000"/>
              </a:schemeClr>
            </cx:maxColor>
          </cx:valueColors>
        </cx:series>
      </cx:plotAreaRegion>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https://chandoo.org/wp/excel-school-program/" TargetMode="External"/><Relationship Id="rId2" Type="http://schemas.openxmlformats.org/officeDocument/2006/relationships/image" Target="../media/image3.png"/><Relationship Id="rId1" Type="http://schemas.openxmlformats.org/officeDocument/2006/relationships/hyperlink" Target="https://chandoo.org/wp/"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101600</xdr:colOff>
      <xdr:row>3</xdr:row>
      <xdr:rowOff>53975</xdr:rowOff>
    </xdr:from>
    <xdr:to>
      <xdr:col>10</xdr:col>
      <xdr:colOff>584200</xdr:colOff>
      <xdr:row>18</xdr:row>
      <xdr:rowOff>34925</xdr:rowOff>
    </xdr:to>
    <xdr:graphicFrame macro="">
      <xdr:nvGraphicFramePr>
        <xdr:cNvPr id="2" name="Chart 1">
          <a:extLst>
            <a:ext uri="{FF2B5EF4-FFF2-40B4-BE49-F238E27FC236}">
              <a16:creationId xmlns:a16="http://schemas.microsoft.com/office/drawing/2014/main" id="{A32AE731-A4F3-EA89-60B8-FC6483B42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358205</xdr:colOff>
      <xdr:row>37</xdr:row>
      <xdr:rowOff>21896</xdr:rowOff>
    </xdr:to>
    <xdr:sp macro="" textlink="">
      <xdr:nvSpPr>
        <xdr:cNvPr id="4" name="Rectangle 3">
          <a:extLst>
            <a:ext uri="{FF2B5EF4-FFF2-40B4-BE49-F238E27FC236}">
              <a16:creationId xmlns:a16="http://schemas.microsoft.com/office/drawing/2014/main" id="{B303B91D-A527-4463-9377-4A74CE299B6B}"/>
            </a:ext>
          </a:extLst>
        </xdr:cNvPr>
        <xdr:cNvSpPr/>
      </xdr:nvSpPr>
      <xdr:spPr>
        <a:xfrm>
          <a:off x="0" y="0"/>
          <a:ext cx="11804487" cy="6949909"/>
        </a:xfrm>
        <a:prstGeom prst="rect">
          <a:avLst/>
        </a:prstGeom>
        <a:solidFill>
          <a:schemeClr val="accent1">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457200</xdr:colOff>
      <xdr:row>37</xdr:row>
      <xdr:rowOff>10948</xdr:rowOff>
    </xdr:to>
    <xdr:sp macro="" textlink="">
      <xdr:nvSpPr>
        <xdr:cNvPr id="3" name="Rectangle 2">
          <a:extLst>
            <a:ext uri="{FF2B5EF4-FFF2-40B4-BE49-F238E27FC236}">
              <a16:creationId xmlns:a16="http://schemas.microsoft.com/office/drawing/2014/main" id="{5080DE0B-DD3D-42C9-248D-87073AA2967D}"/>
            </a:ext>
          </a:extLst>
        </xdr:cNvPr>
        <xdr:cNvSpPr/>
      </xdr:nvSpPr>
      <xdr:spPr>
        <a:xfrm>
          <a:off x="0" y="0"/>
          <a:ext cx="1519183" cy="6897414"/>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3</xdr:row>
      <xdr:rowOff>15875</xdr:rowOff>
    </xdr:from>
    <xdr:to>
      <xdr:col>2</xdr:col>
      <xdr:colOff>120650</xdr:colOff>
      <xdr:row>5</xdr:row>
      <xdr:rowOff>155575</xdr:rowOff>
    </xdr:to>
    <xdr:sp macro="" textlink="piv!G4">
      <xdr:nvSpPr>
        <xdr:cNvPr id="5" name="TextBox 4">
          <a:extLst>
            <a:ext uri="{FF2B5EF4-FFF2-40B4-BE49-F238E27FC236}">
              <a16:creationId xmlns:a16="http://schemas.microsoft.com/office/drawing/2014/main" id="{AF28B86C-B86D-B107-30EB-C166B1E10208}"/>
            </a:ext>
          </a:extLst>
        </xdr:cNvPr>
        <xdr:cNvSpPr txBox="1"/>
      </xdr:nvSpPr>
      <xdr:spPr>
        <a:xfrm>
          <a:off x="25400" y="568325"/>
          <a:ext cx="1003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FE9E15-03A0-437E-95D3-232519B911CC}" type="TxLink">
            <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rPr>
            <a:pPr/>
            <a:t>2,400</a:t>
          </a:fld>
          <a:endParaRPr lang="en-US" sz="1800" b="1" u="non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38100</xdr:colOff>
      <xdr:row>6</xdr:row>
      <xdr:rowOff>19050</xdr:rowOff>
    </xdr:from>
    <xdr:to>
      <xdr:col>2</xdr:col>
      <xdr:colOff>133350</xdr:colOff>
      <xdr:row>8</xdr:row>
      <xdr:rowOff>158750</xdr:rowOff>
    </xdr:to>
    <xdr:sp macro="" textlink="piv!H4">
      <xdr:nvSpPr>
        <xdr:cNvPr id="6" name="TextBox 5">
          <a:extLst>
            <a:ext uri="{FF2B5EF4-FFF2-40B4-BE49-F238E27FC236}">
              <a16:creationId xmlns:a16="http://schemas.microsoft.com/office/drawing/2014/main" id="{47755169-BBE7-4E16-A95B-81E541E07C72}"/>
            </a:ext>
          </a:extLst>
        </xdr:cNvPr>
        <xdr:cNvSpPr txBox="1"/>
      </xdr:nvSpPr>
      <xdr:spPr>
        <a:xfrm>
          <a:off x="38100" y="1123950"/>
          <a:ext cx="1003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731AFF-3CB3-448F-8401-DD464791F641}" type="TxLink">
            <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38100</xdr:colOff>
      <xdr:row>8</xdr:row>
      <xdr:rowOff>177800</xdr:rowOff>
    </xdr:from>
    <xdr:to>
      <xdr:col>2</xdr:col>
      <xdr:colOff>133350</xdr:colOff>
      <xdr:row>11</xdr:row>
      <xdr:rowOff>133350</xdr:rowOff>
    </xdr:to>
    <xdr:sp macro="" textlink="piv!I4">
      <xdr:nvSpPr>
        <xdr:cNvPr id="7" name="TextBox 6">
          <a:extLst>
            <a:ext uri="{FF2B5EF4-FFF2-40B4-BE49-F238E27FC236}">
              <a16:creationId xmlns:a16="http://schemas.microsoft.com/office/drawing/2014/main" id="{F243FA0E-C8B8-4177-8715-A281B63183A9}"/>
            </a:ext>
          </a:extLst>
        </xdr:cNvPr>
        <xdr:cNvSpPr txBox="1"/>
      </xdr:nvSpPr>
      <xdr:spPr>
        <a:xfrm>
          <a:off x="38100" y="1651000"/>
          <a:ext cx="1003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2A7DB8-710B-455D-A2BC-9F8B4430387A}" type="TxLink">
            <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11</xdr:row>
      <xdr:rowOff>158750</xdr:rowOff>
    </xdr:from>
    <xdr:to>
      <xdr:col>2</xdr:col>
      <xdr:colOff>95250</xdr:colOff>
      <xdr:row>14</xdr:row>
      <xdr:rowOff>114300</xdr:rowOff>
    </xdr:to>
    <xdr:sp macro="" textlink="piv!J4">
      <xdr:nvSpPr>
        <xdr:cNvPr id="8" name="TextBox 7">
          <a:extLst>
            <a:ext uri="{FF2B5EF4-FFF2-40B4-BE49-F238E27FC236}">
              <a16:creationId xmlns:a16="http://schemas.microsoft.com/office/drawing/2014/main" id="{E639C287-5B42-49D3-AF70-4D37C6F00781}"/>
            </a:ext>
          </a:extLst>
        </xdr:cNvPr>
        <xdr:cNvSpPr txBox="1"/>
      </xdr:nvSpPr>
      <xdr:spPr>
        <a:xfrm>
          <a:off x="0" y="2184400"/>
          <a:ext cx="1003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53A9CB-928E-4B02-B2D8-6A9A30E415BE}" type="TxLink">
            <a:rPr lang="en-US" sz="1800" b="1" i="0" u="none" strike="noStrike">
              <a:solidFill>
                <a:srgbClr val="FFC000"/>
              </a:solidFill>
              <a:effectLst>
                <a:outerShdw blurRad="50800" dist="38100" dir="5400000" algn="t" rotWithShape="0">
                  <a:prstClr val="black">
                    <a:alpha val="40000"/>
                  </a:prstClr>
                </a:outerShdw>
              </a:effectLst>
              <a:latin typeface="Aptos Narrow"/>
              <a:ea typeface="+mn-ea"/>
              <a:cs typeface="+mn-cs"/>
            </a:rPr>
            <a:pPr marL="0" indent="0"/>
            <a:t>$649.0k</a:t>
          </a:fld>
          <a:endParaRPr lang="en-US" sz="1800" b="1" i="0" u="none" strike="noStrike">
            <a:solidFill>
              <a:srgbClr val="FFC000"/>
            </a:soli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15</xdr:row>
      <xdr:rowOff>12700</xdr:rowOff>
    </xdr:from>
    <xdr:to>
      <xdr:col>2</xdr:col>
      <xdr:colOff>95250</xdr:colOff>
      <xdr:row>17</xdr:row>
      <xdr:rowOff>152400</xdr:rowOff>
    </xdr:to>
    <xdr:sp macro="" textlink="piv!K4">
      <xdr:nvSpPr>
        <xdr:cNvPr id="9" name="TextBox 8">
          <a:extLst>
            <a:ext uri="{FF2B5EF4-FFF2-40B4-BE49-F238E27FC236}">
              <a16:creationId xmlns:a16="http://schemas.microsoft.com/office/drawing/2014/main" id="{FA9F57AB-94C2-4F29-8B1E-D39F0527B0B8}"/>
            </a:ext>
          </a:extLst>
        </xdr:cNvPr>
        <xdr:cNvSpPr txBox="1"/>
      </xdr:nvSpPr>
      <xdr:spPr>
        <a:xfrm>
          <a:off x="0" y="2774950"/>
          <a:ext cx="1003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62DB78-9CCC-44BB-9EF8-D0773016E0AB}" type="TxLink">
            <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US" sz="1800" b="1" i="0" u="none" strike="noStrike">
            <a:gradFill>
              <a:gsLst>
                <a:gs pos="0">
                  <a:schemeClr val="bg1"/>
                </a:gs>
                <a:gs pos="76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2</xdr:row>
      <xdr:rowOff>31750</xdr:rowOff>
    </xdr:from>
    <xdr:to>
      <xdr:col>2</xdr:col>
      <xdr:colOff>133350</xdr:colOff>
      <xdr:row>3</xdr:row>
      <xdr:rowOff>50800</xdr:rowOff>
    </xdr:to>
    <xdr:sp macro="" textlink="">
      <xdr:nvSpPr>
        <xdr:cNvPr id="10" name="TextBox 9">
          <a:extLst>
            <a:ext uri="{FF2B5EF4-FFF2-40B4-BE49-F238E27FC236}">
              <a16:creationId xmlns:a16="http://schemas.microsoft.com/office/drawing/2014/main" id="{7D8EC05C-64CC-578A-B15F-CFC13C440DD7}"/>
            </a:ext>
          </a:extLst>
        </xdr:cNvPr>
        <xdr:cNvSpPr txBox="1"/>
      </xdr:nvSpPr>
      <xdr:spPr>
        <a:xfrm>
          <a:off x="0" y="400050"/>
          <a:ext cx="1041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6000">
                    <a:srgbClr val="E1E1E1"/>
                  </a:gs>
                  <a:gs pos="77000">
                    <a:schemeClr val="bg1">
                      <a:lumMod val="85000"/>
                    </a:schemeClr>
                  </a:gs>
                </a:gsLst>
                <a:lin ang="0" scaled="0"/>
              </a:gradFill>
            </a:rPr>
            <a:t>🛒Orders</a:t>
          </a:r>
        </a:p>
      </xdr:txBody>
    </xdr:sp>
    <xdr:clientData/>
  </xdr:twoCellAnchor>
  <xdr:twoCellAnchor>
    <xdr:from>
      <xdr:col>0</xdr:col>
      <xdr:colOff>0</xdr:colOff>
      <xdr:row>5</xdr:row>
      <xdr:rowOff>25400</xdr:rowOff>
    </xdr:from>
    <xdr:to>
      <xdr:col>3</xdr:col>
      <xdr:colOff>406400</xdr:colOff>
      <xdr:row>7</xdr:row>
      <xdr:rowOff>107950</xdr:rowOff>
    </xdr:to>
    <xdr:sp macro="" textlink="">
      <xdr:nvSpPr>
        <xdr:cNvPr id="13" name="TextBox 12">
          <a:extLst>
            <a:ext uri="{FF2B5EF4-FFF2-40B4-BE49-F238E27FC236}">
              <a16:creationId xmlns:a16="http://schemas.microsoft.com/office/drawing/2014/main" id="{0D103A99-A217-40B4-88FB-CB927A0F905C}"/>
            </a:ext>
          </a:extLst>
        </xdr:cNvPr>
        <xdr:cNvSpPr txBox="1"/>
      </xdr:nvSpPr>
      <xdr:spPr>
        <a:xfrm>
          <a:off x="0" y="946150"/>
          <a:ext cx="1466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6000">
                    <a:srgbClr val="E1E1E1"/>
                  </a:gs>
                  <a:gs pos="77000">
                    <a:schemeClr val="bg1">
                      <a:lumMod val="85000"/>
                    </a:schemeClr>
                  </a:gs>
                </a:gsLst>
                <a:lin ang="0" scaled="0"/>
              </a:gradFill>
            </a:rPr>
            <a:t>📅Days</a:t>
          </a:r>
          <a:r>
            <a:rPr lang="en-US" sz="1100" baseline="0">
              <a:gradFill>
                <a:gsLst>
                  <a:gs pos="6000">
                    <a:srgbClr val="E1E1E1"/>
                  </a:gs>
                  <a:gs pos="77000">
                    <a:schemeClr val="bg1">
                      <a:lumMod val="85000"/>
                    </a:schemeClr>
                  </a:gs>
                </a:gsLst>
                <a:lin ang="0" scaled="0"/>
              </a:gradFill>
            </a:rPr>
            <a:t> To Deliver</a:t>
          </a:r>
          <a:endParaRPr lang="en-US" sz="1100">
            <a:gradFill>
              <a:gsLst>
                <a:gs pos="6000">
                  <a:srgbClr val="E1E1E1"/>
                </a:gs>
                <a:gs pos="77000">
                  <a:schemeClr val="bg1">
                    <a:lumMod val="85000"/>
                  </a:schemeClr>
                </a:gs>
              </a:gsLst>
              <a:lin ang="0" scaled="0"/>
            </a:gradFill>
          </a:endParaRPr>
        </a:p>
      </xdr:txBody>
    </xdr:sp>
    <xdr:clientData/>
  </xdr:twoCellAnchor>
  <xdr:twoCellAnchor>
    <xdr:from>
      <xdr:col>0</xdr:col>
      <xdr:colOff>0</xdr:colOff>
      <xdr:row>8</xdr:row>
      <xdr:rowOff>3175</xdr:rowOff>
    </xdr:from>
    <xdr:to>
      <xdr:col>3</xdr:col>
      <xdr:colOff>406400</xdr:colOff>
      <xdr:row>10</xdr:row>
      <xdr:rowOff>85725</xdr:rowOff>
    </xdr:to>
    <xdr:sp macro="" textlink="">
      <xdr:nvSpPr>
        <xdr:cNvPr id="14" name="TextBox 13">
          <a:extLst>
            <a:ext uri="{FF2B5EF4-FFF2-40B4-BE49-F238E27FC236}">
              <a16:creationId xmlns:a16="http://schemas.microsoft.com/office/drawing/2014/main" id="{54533922-3826-48AA-8F2E-CB2668542551}"/>
            </a:ext>
          </a:extLst>
        </xdr:cNvPr>
        <xdr:cNvSpPr txBox="1"/>
      </xdr:nvSpPr>
      <xdr:spPr>
        <a:xfrm>
          <a:off x="0" y="1476375"/>
          <a:ext cx="1466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6000">
                    <a:srgbClr val="E1E1E1"/>
                  </a:gs>
                  <a:gs pos="77000">
                    <a:schemeClr val="bg1">
                      <a:lumMod val="85000"/>
                    </a:schemeClr>
                  </a:gs>
                </a:gsLst>
                <a:lin ang="0" scaled="0"/>
              </a:gradFill>
            </a:rPr>
            <a:t>⭐Avg.Rating</a:t>
          </a:r>
        </a:p>
      </xdr:txBody>
    </xdr:sp>
    <xdr:clientData/>
  </xdr:twoCellAnchor>
  <xdr:twoCellAnchor>
    <xdr:from>
      <xdr:col>0</xdr:col>
      <xdr:colOff>0</xdr:colOff>
      <xdr:row>10</xdr:row>
      <xdr:rowOff>133350</xdr:rowOff>
    </xdr:from>
    <xdr:to>
      <xdr:col>3</xdr:col>
      <xdr:colOff>406400</xdr:colOff>
      <xdr:row>13</xdr:row>
      <xdr:rowOff>31750</xdr:rowOff>
    </xdr:to>
    <xdr:sp macro="" textlink="">
      <xdr:nvSpPr>
        <xdr:cNvPr id="15" name="TextBox 14">
          <a:extLst>
            <a:ext uri="{FF2B5EF4-FFF2-40B4-BE49-F238E27FC236}">
              <a16:creationId xmlns:a16="http://schemas.microsoft.com/office/drawing/2014/main" id="{F45E65D8-368D-4B80-8762-420085CADE9F}"/>
            </a:ext>
          </a:extLst>
        </xdr:cNvPr>
        <xdr:cNvSpPr txBox="1"/>
      </xdr:nvSpPr>
      <xdr:spPr>
        <a:xfrm>
          <a:off x="0" y="1974850"/>
          <a:ext cx="1466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6000">
                    <a:srgbClr val="E1E1E1"/>
                  </a:gs>
                  <a:gs pos="77000">
                    <a:schemeClr val="bg1">
                      <a:lumMod val="85000"/>
                    </a:schemeClr>
                  </a:gs>
                </a:gsLst>
                <a:lin ang="0" scaled="0"/>
              </a:gradFill>
            </a:rPr>
            <a:t>💰Amount</a:t>
          </a:r>
        </a:p>
      </xdr:txBody>
    </xdr:sp>
    <xdr:clientData/>
  </xdr:twoCellAnchor>
  <xdr:twoCellAnchor>
    <xdr:from>
      <xdr:col>0</xdr:col>
      <xdr:colOff>0</xdr:colOff>
      <xdr:row>13</xdr:row>
      <xdr:rowOff>149225</xdr:rowOff>
    </xdr:from>
    <xdr:to>
      <xdr:col>3</xdr:col>
      <xdr:colOff>406400</xdr:colOff>
      <xdr:row>16</xdr:row>
      <xdr:rowOff>47625</xdr:rowOff>
    </xdr:to>
    <xdr:sp macro="" textlink="">
      <xdr:nvSpPr>
        <xdr:cNvPr id="16" name="TextBox 15">
          <a:extLst>
            <a:ext uri="{FF2B5EF4-FFF2-40B4-BE49-F238E27FC236}">
              <a16:creationId xmlns:a16="http://schemas.microsoft.com/office/drawing/2014/main" id="{C86A29C9-B62D-42EE-915C-F2A6F758D04A}"/>
            </a:ext>
          </a:extLst>
        </xdr:cNvPr>
        <xdr:cNvSpPr txBox="1"/>
      </xdr:nvSpPr>
      <xdr:spPr>
        <a:xfrm>
          <a:off x="0" y="2543175"/>
          <a:ext cx="1466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6000">
                    <a:srgbClr val="E1E1E1"/>
                  </a:gs>
                  <a:gs pos="77000">
                    <a:schemeClr val="bg1">
                      <a:lumMod val="85000"/>
                    </a:schemeClr>
                  </a:gs>
                </a:gsLst>
                <a:lin ang="0" scaled="0"/>
              </a:gradFill>
            </a:rPr>
            <a:t>👕Quantity</a:t>
          </a:r>
        </a:p>
      </xdr:txBody>
    </xdr:sp>
    <xdr:clientData/>
  </xdr:twoCellAnchor>
  <xdr:twoCellAnchor>
    <xdr:from>
      <xdr:col>4</xdr:col>
      <xdr:colOff>44449</xdr:colOff>
      <xdr:row>1</xdr:row>
      <xdr:rowOff>0</xdr:rowOff>
    </xdr:from>
    <xdr:to>
      <xdr:col>8</xdr:col>
      <xdr:colOff>604471</xdr:colOff>
      <xdr:row>10</xdr:row>
      <xdr:rowOff>158749</xdr:rowOff>
    </xdr:to>
    <xdr:graphicFrame macro="">
      <xdr:nvGraphicFramePr>
        <xdr:cNvPr id="17" name="Chart 16">
          <a:extLst>
            <a:ext uri="{FF2B5EF4-FFF2-40B4-BE49-F238E27FC236}">
              <a16:creationId xmlns:a16="http://schemas.microsoft.com/office/drawing/2014/main" id="{FA497000-54AD-4055-B28A-B5E258484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46410</xdr:colOff>
      <xdr:row>1</xdr:row>
      <xdr:rowOff>3899</xdr:rowOff>
    </xdr:from>
    <xdr:to>
      <xdr:col>14</xdr:col>
      <xdr:colOff>122115</xdr:colOff>
      <xdr:row>10</xdr:row>
      <xdr:rowOff>152870</xdr:rowOff>
    </xdr:to>
    <xdr:sp macro="" textlink="">
      <xdr:nvSpPr>
        <xdr:cNvPr id="26" name="Rectangle 25">
          <a:extLst>
            <a:ext uri="{FF2B5EF4-FFF2-40B4-BE49-F238E27FC236}">
              <a16:creationId xmlns:a16="http://schemas.microsoft.com/office/drawing/2014/main" id="{ECABBB23-F274-95A4-F635-F15C08928B48}"/>
            </a:ext>
          </a:extLst>
        </xdr:cNvPr>
        <xdr:cNvSpPr/>
      </xdr:nvSpPr>
      <xdr:spPr>
        <a:xfrm>
          <a:off x="4779512" y="186168"/>
          <a:ext cx="3133112" cy="17893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95570</xdr:colOff>
      <xdr:row>2</xdr:row>
      <xdr:rowOff>73269</xdr:rowOff>
    </xdr:from>
    <xdr:to>
      <xdr:col>14</xdr:col>
      <xdr:colOff>531202</xdr:colOff>
      <xdr:row>10</xdr:row>
      <xdr:rowOff>24423</xdr:rowOff>
    </xdr:to>
    <xdr:pic>
      <xdr:nvPicPr>
        <xdr:cNvPr id="25" name="Picture 24">
          <a:extLst>
            <a:ext uri="{FF2B5EF4-FFF2-40B4-BE49-F238E27FC236}">
              <a16:creationId xmlns:a16="http://schemas.microsoft.com/office/drawing/2014/main" id="{F530E6E4-CB71-CEDB-9DFD-34F390DD4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21435" y="439615"/>
          <a:ext cx="3488517" cy="1416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182889</xdr:colOff>
      <xdr:row>1</xdr:row>
      <xdr:rowOff>12211</xdr:rowOff>
    </xdr:from>
    <xdr:to>
      <xdr:col>20</xdr:col>
      <xdr:colOff>138397</xdr:colOff>
      <xdr:row>10</xdr:row>
      <xdr:rowOff>152644</xdr:rowOff>
    </xdr:to>
    <xdr:graphicFrame macro="">
      <xdr:nvGraphicFramePr>
        <xdr:cNvPr id="27" name="Chart 26">
          <a:extLst>
            <a:ext uri="{FF2B5EF4-FFF2-40B4-BE49-F238E27FC236}">
              <a16:creationId xmlns:a16="http://schemas.microsoft.com/office/drawing/2014/main" id="{F6DAA83C-0E9A-4041-B357-8334AE42B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39077</xdr:colOff>
      <xdr:row>11</xdr:row>
      <xdr:rowOff>28488</xdr:rowOff>
    </xdr:from>
    <xdr:to>
      <xdr:col>10</xdr:col>
      <xdr:colOff>134327</xdr:colOff>
      <xdr:row>36</xdr:row>
      <xdr:rowOff>138397</xdr:rowOff>
    </xdr:to>
    <xdr:graphicFrame macro="">
      <xdr:nvGraphicFramePr>
        <xdr:cNvPr id="2" name="Chart 1">
          <a:extLst>
            <a:ext uri="{FF2B5EF4-FFF2-40B4-BE49-F238E27FC236}">
              <a16:creationId xmlns:a16="http://schemas.microsoft.com/office/drawing/2014/main" id="{EA3426FC-CFDE-4D80-98F8-B3E62A236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313520</xdr:colOff>
      <xdr:row>20</xdr:row>
      <xdr:rowOff>119499</xdr:rowOff>
    </xdr:from>
    <xdr:to>
      <xdr:col>8</xdr:col>
      <xdr:colOff>103970</xdr:colOff>
      <xdr:row>28</xdr:row>
      <xdr:rowOff>28628</xdr:rowOff>
    </xdr:to>
    <xdr:graphicFrame macro="">
      <xdr:nvGraphicFramePr>
        <xdr:cNvPr id="11" name="Chart 10">
          <a:extLst>
            <a:ext uri="{FF2B5EF4-FFF2-40B4-BE49-F238E27FC236}">
              <a16:creationId xmlns:a16="http://schemas.microsoft.com/office/drawing/2014/main" id="{67B779B7-DF41-4FEE-BDA9-5CA20E283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218651</xdr:colOff>
      <xdr:row>11</xdr:row>
      <xdr:rowOff>30598</xdr:rowOff>
    </xdr:from>
    <xdr:to>
      <xdr:col>14</xdr:col>
      <xdr:colOff>482285</xdr:colOff>
      <xdr:row>36</xdr:row>
      <xdr:rowOff>141110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245E17A3-91EC-4892-81CA-54E11CD83B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63234" y="2035552"/>
              <a:ext cx="2709560" cy="4667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131599</xdr:colOff>
      <xdr:row>15</xdr:row>
      <xdr:rowOff>61508</xdr:rowOff>
    </xdr:from>
    <xdr:to>
      <xdr:col>14</xdr:col>
      <xdr:colOff>271299</xdr:colOff>
      <xdr:row>20</xdr:row>
      <xdr:rowOff>175807</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AD6D346-3047-452F-B254-54025F8A0E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03843" y="2870162"/>
              <a:ext cx="750277" cy="10505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568972</xdr:colOff>
      <xdr:row>11</xdr:row>
      <xdr:rowOff>29398</xdr:rowOff>
    </xdr:from>
    <xdr:to>
      <xdr:col>20</xdr:col>
      <xdr:colOff>138396</xdr:colOff>
      <xdr:row>20</xdr:row>
      <xdr:rowOff>145181</xdr:rowOff>
    </xdr:to>
    <xdr:graphicFrame macro="">
      <xdr:nvGraphicFramePr>
        <xdr:cNvPr id="19" name="Chart 18">
          <a:extLst>
            <a:ext uri="{FF2B5EF4-FFF2-40B4-BE49-F238E27FC236}">
              <a16:creationId xmlns:a16="http://schemas.microsoft.com/office/drawing/2014/main" id="{F972972D-F859-42D9-81F2-9CCCC7AA0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578562</xdr:colOff>
      <xdr:row>21</xdr:row>
      <xdr:rowOff>38740</xdr:rowOff>
    </xdr:from>
    <xdr:to>
      <xdr:col>20</xdr:col>
      <xdr:colOff>138397</xdr:colOff>
      <xdr:row>36</xdr:row>
      <xdr:rowOff>141111</xdr:rowOff>
    </xdr:to>
    <xdr:graphicFrame macro="">
      <xdr:nvGraphicFramePr>
        <xdr:cNvPr id="21" name="Chart 20">
          <a:extLst>
            <a:ext uri="{FF2B5EF4-FFF2-40B4-BE49-F238E27FC236}">
              <a16:creationId xmlns:a16="http://schemas.microsoft.com/office/drawing/2014/main" id="{8358CE91-19D6-4274-BDCD-5DFBA2032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89557</xdr:colOff>
      <xdr:row>17</xdr:row>
      <xdr:rowOff>164224</xdr:rowOff>
    </xdr:from>
    <xdr:to>
      <xdr:col>3</xdr:col>
      <xdr:colOff>76638</xdr:colOff>
      <xdr:row>26</xdr:row>
      <xdr:rowOff>35278</xdr:rowOff>
    </xdr:to>
    <mc:AlternateContent xmlns:mc="http://schemas.openxmlformats.org/markup-compatibility/2006">
      <mc:Choice xmlns:a14="http://schemas.microsoft.com/office/drawing/2010/main" Requires="a14">
        <xdr:graphicFrame macro="">
          <xdr:nvGraphicFramePr>
            <xdr:cNvPr id="22" name="Order Mode">
              <a:extLst>
                <a:ext uri="{FF2B5EF4-FFF2-40B4-BE49-F238E27FC236}">
                  <a16:creationId xmlns:a16="http://schemas.microsoft.com/office/drawing/2014/main" id="{6C03B4E8-8B9E-4DD2-81FC-D2566C07CDA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89557" y="3262789"/>
              <a:ext cx="1051294" cy="1511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98534</xdr:colOff>
      <xdr:row>26</xdr:row>
      <xdr:rowOff>141890</xdr:rowOff>
    </xdr:from>
    <xdr:to>
      <xdr:col>3</xdr:col>
      <xdr:colOff>87586</xdr:colOff>
      <xdr:row>36</xdr:row>
      <xdr:rowOff>10948</xdr:rowOff>
    </xdr:to>
    <mc:AlternateContent xmlns:mc="http://schemas.openxmlformats.org/markup-compatibility/2006">
      <mc:Choice xmlns:a14="http://schemas.microsoft.com/office/drawing/2010/main" Requires="a14">
        <xdr:graphicFrame macro="">
          <xdr:nvGraphicFramePr>
            <xdr:cNvPr id="23" name="Gender Value">
              <a:extLst>
                <a:ext uri="{FF2B5EF4-FFF2-40B4-BE49-F238E27FC236}">
                  <a16:creationId xmlns:a16="http://schemas.microsoft.com/office/drawing/2014/main" id="{3A19EBF0-D1D3-4439-9609-5D8B52C92E4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8534" y="4880871"/>
              <a:ext cx="1053265" cy="169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353409</xdr:colOff>
      <xdr:row>1</xdr:row>
      <xdr:rowOff>3519</xdr:rowOff>
    </xdr:from>
    <xdr:to>
      <xdr:col>13</xdr:col>
      <xdr:colOff>547138</xdr:colOff>
      <xdr:row>2</xdr:row>
      <xdr:rowOff>68095</xdr:rowOff>
    </xdr:to>
    <xdr:sp macro="" textlink="">
      <xdr:nvSpPr>
        <xdr:cNvPr id="24" name="Rectangle 23">
          <a:extLst>
            <a:ext uri="{FF2B5EF4-FFF2-40B4-BE49-F238E27FC236}">
              <a16:creationId xmlns:a16="http://schemas.microsoft.com/office/drawing/2014/main" id="{EEB9F331-E2B8-2254-9889-41DD5ADC92C3}"/>
            </a:ext>
          </a:extLst>
        </xdr:cNvPr>
        <xdr:cNvSpPr/>
      </xdr:nvSpPr>
      <xdr:spPr>
        <a:xfrm>
          <a:off x="5079274" y="186692"/>
          <a:ext cx="2636037" cy="247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bg2">
                  <a:lumMod val="50000"/>
                </a:schemeClr>
              </a:solidFill>
            </a:rPr>
            <a:t>How they like to buy</a:t>
          </a:r>
        </a:p>
      </xdr:txBody>
    </xdr:sp>
    <xdr:clientData/>
  </xdr:twoCellAnchor>
  <xdr:twoCellAnchor editAs="oneCell">
    <xdr:from>
      <xdr:col>0</xdr:col>
      <xdr:colOff>0</xdr:colOff>
      <xdr:row>0</xdr:row>
      <xdr:rowOff>21526</xdr:rowOff>
    </xdr:from>
    <xdr:to>
      <xdr:col>3</xdr:col>
      <xdr:colOff>477822</xdr:colOff>
      <xdr:row>2</xdr:row>
      <xdr:rowOff>100216</xdr:rowOff>
    </xdr:to>
    <xdr:pic>
      <xdr:nvPicPr>
        <xdr:cNvPr id="29" name="Picture 28">
          <a:extLst>
            <a:ext uri="{FF2B5EF4-FFF2-40B4-BE49-F238E27FC236}">
              <a16:creationId xmlns:a16="http://schemas.microsoft.com/office/drawing/2014/main" id="{633803EE-E55E-4EFB-9812-B84EF1B7116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21526"/>
          <a:ext cx="1543330" cy="444622"/>
        </a:xfrm>
        <a:prstGeom prst="rect">
          <a:avLst/>
        </a:prstGeom>
      </xdr:spPr>
    </xdr:pic>
    <xdr:clientData/>
  </xdr:twoCellAnchor>
  <xdr:twoCellAnchor>
    <xdr:from>
      <xdr:col>0</xdr:col>
      <xdr:colOff>129153</xdr:colOff>
      <xdr:row>5</xdr:row>
      <xdr:rowOff>10762</xdr:rowOff>
    </xdr:from>
    <xdr:to>
      <xdr:col>3</xdr:col>
      <xdr:colOff>53814</xdr:colOff>
      <xdr:row>5</xdr:row>
      <xdr:rowOff>10762</xdr:rowOff>
    </xdr:to>
    <xdr:cxnSp macro="">
      <xdr:nvCxnSpPr>
        <xdr:cNvPr id="31" name="Straight Connector 30">
          <a:extLst>
            <a:ext uri="{FF2B5EF4-FFF2-40B4-BE49-F238E27FC236}">
              <a16:creationId xmlns:a16="http://schemas.microsoft.com/office/drawing/2014/main" id="{19902DF9-F421-D1B0-59F1-09F5A2298FBF}"/>
            </a:ext>
          </a:extLst>
        </xdr:cNvPr>
        <xdr:cNvCxnSpPr/>
      </xdr:nvCxnSpPr>
      <xdr:spPr>
        <a:xfrm>
          <a:off x="129153" y="925593"/>
          <a:ext cx="9901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130875</xdr:colOff>
      <xdr:row>8</xdr:row>
      <xdr:rowOff>1721</xdr:rowOff>
    </xdr:from>
    <xdr:to>
      <xdr:col>3</xdr:col>
      <xdr:colOff>55536</xdr:colOff>
      <xdr:row>8</xdr:row>
      <xdr:rowOff>1721</xdr:rowOff>
    </xdr:to>
    <xdr:cxnSp macro="">
      <xdr:nvCxnSpPr>
        <xdr:cNvPr id="32" name="Straight Connector 31">
          <a:extLst>
            <a:ext uri="{FF2B5EF4-FFF2-40B4-BE49-F238E27FC236}">
              <a16:creationId xmlns:a16="http://schemas.microsoft.com/office/drawing/2014/main" id="{177C9903-FB6E-436B-AD69-4E44327DD3DE}"/>
            </a:ext>
          </a:extLst>
        </xdr:cNvPr>
        <xdr:cNvCxnSpPr/>
      </xdr:nvCxnSpPr>
      <xdr:spPr>
        <a:xfrm>
          <a:off x="130875" y="1465450"/>
          <a:ext cx="9901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132597</xdr:colOff>
      <xdr:row>10</xdr:row>
      <xdr:rowOff>121833</xdr:rowOff>
    </xdr:from>
    <xdr:to>
      <xdr:col>3</xdr:col>
      <xdr:colOff>57258</xdr:colOff>
      <xdr:row>10</xdr:row>
      <xdr:rowOff>121833</xdr:rowOff>
    </xdr:to>
    <xdr:cxnSp macro="">
      <xdr:nvCxnSpPr>
        <xdr:cNvPr id="33" name="Straight Connector 32">
          <a:extLst>
            <a:ext uri="{FF2B5EF4-FFF2-40B4-BE49-F238E27FC236}">
              <a16:creationId xmlns:a16="http://schemas.microsoft.com/office/drawing/2014/main" id="{A9F5DDBB-FF94-4938-BF51-BD5B593F76F1}"/>
            </a:ext>
          </a:extLst>
        </xdr:cNvPr>
        <xdr:cNvCxnSpPr/>
      </xdr:nvCxnSpPr>
      <xdr:spPr>
        <a:xfrm>
          <a:off x="132597" y="1951494"/>
          <a:ext cx="9901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91268</xdr:colOff>
      <xdr:row>13</xdr:row>
      <xdr:rowOff>102030</xdr:rowOff>
    </xdr:from>
    <xdr:to>
      <xdr:col>3</xdr:col>
      <xdr:colOff>15929</xdr:colOff>
      <xdr:row>13</xdr:row>
      <xdr:rowOff>102030</xdr:rowOff>
    </xdr:to>
    <xdr:cxnSp macro="">
      <xdr:nvCxnSpPr>
        <xdr:cNvPr id="34" name="Straight Connector 33">
          <a:extLst>
            <a:ext uri="{FF2B5EF4-FFF2-40B4-BE49-F238E27FC236}">
              <a16:creationId xmlns:a16="http://schemas.microsoft.com/office/drawing/2014/main" id="{53C71B1C-B6F4-498C-A360-029C124FA7E7}"/>
            </a:ext>
          </a:extLst>
        </xdr:cNvPr>
        <xdr:cNvCxnSpPr/>
      </xdr:nvCxnSpPr>
      <xdr:spPr>
        <a:xfrm>
          <a:off x="91268" y="2480589"/>
          <a:ext cx="9901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82228</xdr:colOff>
      <xdr:row>16</xdr:row>
      <xdr:rowOff>146802</xdr:rowOff>
    </xdr:from>
    <xdr:to>
      <xdr:col>3</xdr:col>
      <xdr:colOff>6889</xdr:colOff>
      <xdr:row>16</xdr:row>
      <xdr:rowOff>146802</xdr:rowOff>
    </xdr:to>
    <xdr:cxnSp macro="">
      <xdr:nvCxnSpPr>
        <xdr:cNvPr id="35" name="Straight Connector 34">
          <a:extLst>
            <a:ext uri="{FF2B5EF4-FFF2-40B4-BE49-F238E27FC236}">
              <a16:creationId xmlns:a16="http://schemas.microsoft.com/office/drawing/2014/main" id="{45F8E7C7-CC51-4008-A512-D9B1B8A936D9}"/>
            </a:ext>
          </a:extLst>
        </xdr:cNvPr>
        <xdr:cNvCxnSpPr/>
      </xdr:nvCxnSpPr>
      <xdr:spPr>
        <a:xfrm>
          <a:off x="82228" y="3074260"/>
          <a:ext cx="9901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177800</xdr:colOff>
      <xdr:row>1</xdr:row>
      <xdr:rowOff>177800</xdr:rowOff>
    </xdr:from>
    <xdr:to>
      <xdr:col>9</xdr:col>
      <xdr:colOff>482600</xdr:colOff>
      <xdr:row>16</xdr:row>
      <xdr:rowOff>158750</xdr:rowOff>
    </xdr:to>
    <xdr:graphicFrame macro="">
      <xdr:nvGraphicFramePr>
        <xdr:cNvPr id="2" name="Chart 1">
          <a:extLst>
            <a:ext uri="{FF2B5EF4-FFF2-40B4-BE49-F238E27FC236}">
              <a16:creationId xmlns:a16="http://schemas.microsoft.com/office/drawing/2014/main" id="{AAB15F9B-07D2-9552-0398-D4130B6E5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1"/>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3"/>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0.511485763891" createdVersion="8" refreshedVersion="8" minRefreshableVersion="3" recordCount="2400" xr:uid="{77844A9B-A194-45F2-965B-B7A486955319}">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2021275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DC1C2-3538-4C09-A9F9-CB702AF43992}" name="qt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1">
    <format dxfId="5">
      <pivotArea outline="0" collapsedLevelsAreSubtotals="1" fieldPosition="0">
        <references count="1">
          <reference field="4294967294" count="1" selected="0">
            <x v="1"/>
          </reference>
        </references>
      </pivotArea>
    </format>
  </formats>
  <chartFormats count="6">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4A8E5-4DDA-441D-B983-074AF87BC56D}" name="summe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1"/>
    <dataField name="Average of Rating C" fld="9" subtotal="average" baseField="0" baseItem="1"/>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4345D-430F-4C32-8E58-E461C7873AFB}" name="no"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0159CB-F922-4F7D-9D9F-A915271D6CDC}" name="count TX"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D12C1-8958-446A-BC63-9B77AD12A5AD}" name="NO"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14" count="1" selected="0">
            <x v="0"/>
          </reference>
        </references>
      </pivotArea>
    </chartFormat>
    <chartFormat chart="27" format="12">
      <pivotArea type="data" outline="0" fieldPosition="0">
        <references count="2">
          <reference field="4294967294" count="1" selected="0">
            <x v="0"/>
          </reference>
          <reference field="14" count="1" selected="0">
            <x v="1"/>
          </reference>
        </references>
      </pivotArea>
    </chartFormat>
    <chartFormat chart="27" format="13">
      <pivotArea type="data" outline="0" fieldPosition="0">
        <references count="2">
          <reference field="4294967294" count="1" selected="0">
            <x v="0"/>
          </reference>
          <reference field="14" count="1" selected="0">
            <x v="2"/>
          </reference>
        </references>
      </pivotArea>
    </chartFormat>
    <chartFormat chart="2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4C22A5-904A-482C-8C87-526967FB5E64}" name="YE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C" fld="2" baseField="0" baseItem="0"/>
  </dataFields>
  <chartFormats count="4">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294DF7-15D0-4966-AC85-771E51EE0416}" name="YES"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0"/>
        <item x="3"/>
        <item x="4"/>
        <item x="2"/>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0B7B3F-E9E1-484A-B6FF-7C3FF6A1BA11}" name="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K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7" format="13" series="1">
      <pivotArea type="data" outline="0" fieldPosition="0">
        <references count="2">
          <reference field="4294967294" count="1" selected="0">
            <x v="0"/>
          </reference>
          <reference field="9" count="1" selected="0">
            <x v="0"/>
          </reference>
        </references>
      </pivotArea>
    </chartFormat>
    <chartFormat chart="17" format="14" series="1">
      <pivotArea type="data" outline="0" fieldPosition="0">
        <references count="2">
          <reference field="4294967294" count="1" selected="0">
            <x v="0"/>
          </reference>
          <reference field="9" count="1" selected="0">
            <x v="1"/>
          </reference>
        </references>
      </pivotArea>
    </chartFormat>
    <chartFormat chart="17" format="15" series="1">
      <pivotArea type="data" outline="0" fieldPosition="0">
        <references count="2">
          <reference field="4294967294" count="1" selected="0">
            <x v="0"/>
          </reference>
          <reference field="9" count="1" selected="0">
            <x v="2"/>
          </reference>
        </references>
      </pivotArea>
    </chartFormat>
    <chartFormat chart="17" format="16" series="1">
      <pivotArea type="data" outline="0" fieldPosition="0">
        <references count="2">
          <reference field="4294967294" count="1" selected="0">
            <x v="0"/>
          </reference>
          <reference field="9" count="1" selected="0">
            <x v="3"/>
          </reference>
        </references>
      </pivotArea>
    </chartFormat>
    <chartFormat chart="1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7B112-2F6E-457D-8D7A-7507212726C8}" name="YE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78E08C7-6794-4613-BFD2-E7F886D07F3E}" sourceName="Order Mode">
  <pivotTables>
    <pivotTable tabId="12" name="Y"/>
    <pivotTable tabId="5" name="qty"/>
    <pivotTable tabId="5" name="summery"/>
    <pivotTable tabId="10" name="YES"/>
    <pivotTable tabId="9" name="count TX"/>
    <pivotTable tabId="11" name="YES"/>
    <pivotTable tabId="12" name="YES"/>
  </pivotTables>
  <data>
    <tabular pivotCacheId="202127548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B9C25C7-B4E5-4EA3-A10D-855B2E003845}" sourceName="Gender Value">
  <pivotTables>
    <pivotTable tabId="12" name="Y"/>
    <pivotTable tabId="5" name="qty"/>
    <pivotTable tabId="5" name="summery"/>
    <pivotTable tabId="10" name="YES"/>
    <pivotTable tabId="9" name="count TX"/>
    <pivotTable tabId="11" name="YES"/>
    <pivotTable tabId="12" name="YES"/>
  </pivotTables>
  <data>
    <tabular pivotCacheId="202127548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1E72AED-1F45-4110-8B7F-13A9C30B88EE}" cache="Slicer_Order_Mode" caption="Order Mode" startItem="1" style="SlicerStyleDark6" rowHeight="251883"/>
  <slicer name="Gender Value" xr10:uid="{DD637B4F-C56C-453D-9231-80EEAAC04BED}" cache="Slicer_Gender_Value" caption="Gender Value"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9E5B-63C6-4B26-8977-C744DD637354}">
  <dimension ref="A2:K21"/>
  <sheetViews>
    <sheetView topLeftCell="A7" workbookViewId="0">
      <selection activeCell="B8" sqref="B8"/>
    </sheetView>
  </sheetViews>
  <sheetFormatPr defaultRowHeight="14.5" x14ac:dyDescent="0.35"/>
  <cols>
    <col min="1" max="1" width="12.453125" bestFit="1" customWidth="1"/>
    <col min="2" max="2" width="22.36328125" bestFit="1" customWidth="1"/>
    <col min="3" max="3" width="16.81640625" bestFit="1" customWidth="1"/>
    <col min="4" max="4" width="13.6328125" bestFit="1" customWidth="1"/>
    <col min="5" max="5" width="14.26953125" bestFit="1" customWidth="1"/>
  </cols>
  <sheetData>
    <row r="2" spans="1:11" x14ac:dyDescent="0.35">
      <c r="G2" t="s">
        <v>2557</v>
      </c>
    </row>
    <row r="3" spans="1:11" x14ac:dyDescent="0.35">
      <c r="A3" t="s">
        <v>2552</v>
      </c>
      <c r="B3" t="s">
        <v>2556</v>
      </c>
      <c r="C3" t="s">
        <v>2555</v>
      </c>
      <c r="D3" t="s">
        <v>2554</v>
      </c>
      <c r="E3" t="s">
        <v>2553</v>
      </c>
      <c r="G3" t="s">
        <v>2558</v>
      </c>
      <c r="H3" t="s">
        <v>2559</v>
      </c>
      <c r="I3" t="s">
        <v>2560</v>
      </c>
      <c r="J3" t="s">
        <v>2561</v>
      </c>
      <c r="K3" t="s">
        <v>2562</v>
      </c>
    </row>
    <row r="4" spans="1:11" x14ac:dyDescent="0.35">
      <c r="A4" s="25">
        <v>2400</v>
      </c>
      <c r="B4" s="25">
        <v>2.3424999999999998</v>
      </c>
      <c r="C4" s="25">
        <v>3.9620833333333332</v>
      </c>
      <c r="D4" s="25">
        <v>649019.80000000144</v>
      </c>
      <c r="E4" s="25">
        <v>11997</v>
      </c>
      <c r="G4" t="str">
        <f>TEXT(A4,"#,##")</f>
        <v>2,400</v>
      </c>
      <c r="H4" t="str">
        <f>TEXT(B4,"0.0")</f>
        <v>2.3</v>
      </c>
      <c r="I4" t="str">
        <f>TEXT(C4,"0.0")</f>
        <v>4.0</v>
      </c>
      <c r="J4" t="str">
        <f>TEXT(D4,"$#,##,.0k")</f>
        <v>$649.0k</v>
      </c>
      <c r="K4" t="str">
        <f t="shared" ref="K4" si="0">TEXT(E4,"#,##")</f>
        <v>11,997</v>
      </c>
    </row>
    <row r="7" spans="1:11" x14ac:dyDescent="0.35">
      <c r="A7" s="12" t="s">
        <v>2563</v>
      </c>
      <c r="B7" t="s">
        <v>2553</v>
      </c>
      <c r="C7" t="s">
        <v>2554</v>
      </c>
    </row>
    <row r="8" spans="1:11" x14ac:dyDescent="0.35">
      <c r="A8" s="13">
        <v>1</v>
      </c>
      <c r="B8" s="25">
        <v>546</v>
      </c>
      <c r="C8" s="14">
        <v>32413.300000000003</v>
      </c>
    </row>
    <row r="9" spans="1:11" x14ac:dyDescent="0.35">
      <c r="A9" s="13">
        <v>2</v>
      </c>
      <c r="B9" s="25">
        <v>905</v>
      </c>
      <c r="C9" s="14">
        <v>49562.999999999993</v>
      </c>
    </row>
    <row r="10" spans="1:11" x14ac:dyDescent="0.35">
      <c r="A10" s="13">
        <v>3</v>
      </c>
      <c r="B10" s="25">
        <v>796</v>
      </c>
      <c r="C10" s="14">
        <v>41700.400000000016</v>
      </c>
    </row>
    <row r="11" spans="1:11" x14ac:dyDescent="0.35">
      <c r="A11" s="13">
        <v>4</v>
      </c>
      <c r="B11" s="25">
        <v>913</v>
      </c>
      <c r="C11" s="14">
        <v>46782.599999999984</v>
      </c>
    </row>
    <row r="12" spans="1:11" x14ac:dyDescent="0.35">
      <c r="A12" s="13">
        <v>5</v>
      </c>
      <c r="B12" s="25">
        <v>844</v>
      </c>
      <c r="C12" s="14">
        <v>42676.100000000006</v>
      </c>
    </row>
    <row r="13" spans="1:11" x14ac:dyDescent="0.35">
      <c r="A13" s="13">
        <v>6</v>
      </c>
      <c r="B13" s="25">
        <v>1202</v>
      </c>
      <c r="C13" s="14">
        <v>62910.7</v>
      </c>
    </row>
    <row r="14" spans="1:11" x14ac:dyDescent="0.35">
      <c r="A14" s="13">
        <v>7</v>
      </c>
      <c r="B14" s="25">
        <v>935</v>
      </c>
      <c r="C14" s="14">
        <v>50332.200000000004</v>
      </c>
    </row>
    <row r="15" spans="1:11" x14ac:dyDescent="0.35">
      <c r="A15" s="13">
        <v>8</v>
      </c>
      <c r="B15" s="25">
        <v>1128</v>
      </c>
      <c r="C15" s="14">
        <v>58760.599999999977</v>
      </c>
    </row>
    <row r="16" spans="1:11" x14ac:dyDescent="0.35">
      <c r="A16" s="13">
        <v>9</v>
      </c>
      <c r="B16" s="25">
        <v>1007</v>
      </c>
      <c r="C16" s="14">
        <v>52017.299999999996</v>
      </c>
    </row>
    <row r="17" spans="1:3" x14ac:dyDescent="0.35">
      <c r="A17" s="13">
        <v>10</v>
      </c>
      <c r="B17" s="25">
        <v>1128</v>
      </c>
      <c r="C17" s="14">
        <v>64915.700000000033</v>
      </c>
    </row>
    <row r="18" spans="1:3" x14ac:dyDescent="0.35">
      <c r="A18" s="13">
        <v>11</v>
      </c>
      <c r="B18" s="25">
        <v>861</v>
      </c>
      <c r="C18" s="14">
        <v>45943.80000000001</v>
      </c>
    </row>
    <row r="19" spans="1:3" x14ac:dyDescent="0.35">
      <c r="A19" s="13">
        <v>12</v>
      </c>
      <c r="B19" s="25">
        <v>944</v>
      </c>
      <c r="C19" s="14">
        <v>55077.900000000031</v>
      </c>
    </row>
    <row r="20" spans="1:3" x14ac:dyDescent="0.35">
      <c r="A20" s="13">
        <v>13</v>
      </c>
      <c r="B20" s="25">
        <v>788</v>
      </c>
      <c r="C20" s="14">
        <v>45926.19999999999</v>
      </c>
    </row>
    <row r="21" spans="1:3" x14ac:dyDescent="0.35">
      <c r="A21" s="13" t="s">
        <v>2564</v>
      </c>
      <c r="B21" s="25">
        <v>11997</v>
      </c>
      <c r="C21" s="14">
        <v>649019.79999999993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6BB3-6498-474F-9FDC-21FE8EE2AFCE}">
  <dimension ref="A1"/>
  <sheetViews>
    <sheetView tabSelected="1" zoomScale="108" zoomScaleNormal="108" workbookViewId="0">
      <selection activeCell="P42" sqref="P42"/>
    </sheetView>
  </sheetViews>
  <sheetFormatPr defaultRowHeight="14.5" x14ac:dyDescent="0.35"/>
  <cols>
    <col min="1" max="1" width="2.08984375" customWidth="1"/>
    <col min="2" max="2" width="10.90625" customWidth="1"/>
    <col min="3" max="3" width="2.17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8BDE-E199-4009-A1B6-A226EFA1714E}">
  <dimension ref="A3:N10"/>
  <sheetViews>
    <sheetView showGridLines="0" workbookViewId="0">
      <selection activeCell="B4" sqref="B4"/>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s>
  <sheetData>
    <row r="3" spans="1:14" x14ac:dyDescent="0.35">
      <c r="A3" s="12" t="s">
        <v>2554</v>
      </c>
      <c r="B3" s="12" t="s">
        <v>2569</v>
      </c>
    </row>
    <row r="4" spans="1:14" x14ac:dyDescent="0.35">
      <c r="A4" s="12" t="s">
        <v>2563</v>
      </c>
      <c r="B4" t="s">
        <v>2567</v>
      </c>
      <c r="C4" t="s">
        <v>2566</v>
      </c>
      <c r="D4" t="s">
        <v>2568</v>
      </c>
      <c r="E4" t="s">
        <v>2565</v>
      </c>
      <c r="F4" t="s">
        <v>2564</v>
      </c>
      <c r="H4" s="16"/>
      <c r="I4" s="17" t="str">
        <f>B4</f>
        <v>Female</v>
      </c>
      <c r="J4" s="17" t="str">
        <f t="shared" ref="J4:L4" si="0">C4</f>
        <v>Male</v>
      </c>
      <c r="K4" s="17" t="str">
        <f t="shared" si="0"/>
        <v>Other</v>
      </c>
      <c r="L4" s="17" t="str">
        <f t="shared" si="0"/>
        <v>Unknown</v>
      </c>
      <c r="M4" s="24" t="str">
        <f>F4</f>
        <v>Grand Total</v>
      </c>
      <c r="N4" s="24"/>
    </row>
    <row r="5" spans="1:14" x14ac:dyDescent="0.35">
      <c r="A5" s="13" t="s">
        <v>18</v>
      </c>
      <c r="B5" s="15">
        <v>0.18961825201634841</v>
      </c>
      <c r="C5" s="15">
        <v>0.12262322351336576</v>
      </c>
      <c r="D5" s="15">
        <v>1.060537752469185E-2</v>
      </c>
      <c r="E5" s="15">
        <v>3.0599220547662797E-2</v>
      </c>
      <c r="F5" s="15">
        <v>0.35344607360206881</v>
      </c>
      <c r="H5" s="18" t="str">
        <f>A5</f>
        <v>App</v>
      </c>
      <c r="I5" s="19">
        <f t="shared" ref="I5:M5" si="1">B5</f>
        <v>0.18961825201634841</v>
      </c>
      <c r="J5" s="19">
        <f t="shared" si="1"/>
        <v>0.12262322351336576</v>
      </c>
      <c r="K5" s="19">
        <f t="shared" si="1"/>
        <v>1.060537752469185E-2</v>
      </c>
      <c r="L5" s="19">
        <f t="shared" si="1"/>
        <v>3.0599220547662797E-2</v>
      </c>
      <c r="M5" s="20">
        <f t="shared" si="1"/>
        <v>0.35344607360206881</v>
      </c>
    </row>
    <row r="6" spans="1:14" x14ac:dyDescent="0.35">
      <c r="A6" s="13" t="s">
        <v>51</v>
      </c>
      <c r="B6" s="15">
        <v>5.0283982091147303E-2</v>
      </c>
      <c r="C6" s="15">
        <v>4.3060781812819873E-2</v>
      </c>
      <c r="D6" s="15">
        <v>1.5320025675641944E-3</v>
      </c>
      <c r="E6" s="15">
        <v>1.7794988689097006E-2</v>
      </c>
      <c r="F6" s="15">
        <v>0.11267175516062837</v>
      </c>
      <c r="H6" s="18" t="str">
        <f t="shared" ref="H6:H9" si="2">A6</f>
        <v>Instagram</v>
      </c>
      <c r="I6" s="19">
        <f t="shared" ref="I6:I9" si="3">B6</f>
        <v>5.0283982091147303E-2</v>
      </c>
      <c r="J6" s="19">
        <f t="shared" ref="J6:J9" si="4">C6</f>
        <v>4.3060781812819873E-2</v>
      </c>
      <c r="K6" s="19">
        <f t="shared" ref="K6:K9" si="5">D6</f>
        <v>1.5320025675641944E-3</v>
      </c>
      <c r="L6" s="19">
        <f t="shared" ref="L6:L9" si="6">E6</f>
        <v>1.7794988689097006E-2</v>
      </c>
      <c r="M6" s="20">
        <f t="shared" ref="M6:M9" si="7">F6</f>
        <v>0.11267175516062837</v>
      </c>
    </row>
    <row r="7" spans="1:14" x14ac:dyDescent="0.35">
      <c r="A7" s="13" t="s">
        <v>70</v>
      </c>
      <c r="B7" s="15">
        <v>6.3496059750411282E-2</v>
      </c>
      <c r="C7" s="15">
        <v>4.6071629863988765E-2</v>
      </c>
      <c r="D7" s="15">
        <v>2.306247051322625E-3</v>
      </c>
      <c r="E7" s="15">
        <v>3.8927934093844286E-3</v>
      </c>
      <c r="F7" s="15">
        <v>0.11576673007510711</v>
      </c>
      <c r="H7" s="18" t="str">
        <f t="shared" si="2"/>
        <v>Partner App</v>
      </c>
      <c r="I7" s="19">
        <f t="shared" si="3"/>
        <v>6.3496059750411282E-2</v>
      </c>
      <c r="J7" s="19">
        <f t="shared" si="4"/>
        <v>4.6071629863988765E-2</v>
      </c>
      <c r="K7" s="19">
        <f t="shared" si="5"/>
        <v>2.306247051322625E-3</v>
      </c>
      <c r="L7" s="19">
        <f t="shared" si="6"/>
        <v>3.8927934093844286E-3</v>
      </c>
      <c r="M7" s="20">
        <f t="shared" si="7"/>
        <v>0.11576673007510711</v>
      </c>
    </row>
    <row r="8" spans="1:14" x14ac:dyDescent="0.35">
      <c r="A8" s="13" t="s">
        <v>40</v>
      </c>
      <c r="B8" s="15">
        <v>9.6337892927149532E-2</v>
      </c>
      <c r="C8" s="15">
        <v>6.7920115842382611E-2</v>
      </c>
      <c r="D8" s="15">
        <v>5.4979832664581261E-3</v>
      </c>
      <c r="E8" s="15">
        <v>1.2933041488102518E-2</v>
      </c>
      <c r="F8" s="15">
        <v>0.1826890335240928</v>
      </c>
      <c r="H8" s="18" t="str">
        <f t="shared" si="2"/>
        <v>Target.com</v>
      </c>
      <c r="I8" s="19">
        <f t="shared" si="3"/>
        <v>9.6337892927149532E-2</v>
      </c>
      <c r="J8" s="19">
        <f t="shared" si="4"/>
        <v>6.7920115842382611E-2</v>
      </c>
      <c r="K8" s="19">
        <f t="shared" si="5"/>
        <v>5.4979832664581261E-3</v>
      </c>
      <c r="L8" s="19">
        <f t="shared" si="6"/>
        <v>1.2933041488102518E-2</v>
      </c>
      <c r="M8" s="20">
        <f t="shared" si="7"/>
        <v>0.1826890335240928</v>
      </c>
    </row>
    <row r="9" spans="1:14" x14ac:dyDescent="0.35">
      <c r="A9" s="13" t="s">
        <v>35</v>
      </c>
      <c r="B9" s="15">
        <v>0.12522098709469262</v>
      </c>
      <c r="C9" s="15">
        <v>9.1492740283116228E-2</v>
      </c>
      <c r="D9" s="15">
        <v>6.3042760790965081E-3</v>
      </c>
      <c r="E9" s="15">
        <v>1.2408404181197551E-2</v>
      </c>
      <c r="F9" s="15">
        <v>0.23542640763810288</v>
      </c>
      <c r="H9" s="21" t="str">
        <f t="shared" si="2"/>
        <v>Website</v>
      </c>
      <c r="I9" s="22">
        <f t="shared" si="3"/>
        <v>0.12522098709469262</v>
      </c>
      <c r="J9" s="22">
        <f t="shared" si="4"/>
        <v>9.1492740283116228E-2</v>
      </c>
      <c r="K9" s="22">
        <f t="shared" si="5"/>
        <v>6.3042760790965081E-3</v>
      </c>
      <c r="L9" s="22">
        <f t="shared" si="6"/>
        <v>1.2408404181197551E-2</v>
      </c>
      <c r="M9" s="23">
        <f t="shared" si="7"/>
        <v>0.23542640763810288</v>
      </c>
    </row>
    <row r="10" spans="1:14" x14ac:dyDescent="0.35">
      <c r="A10" s="13" t="s">
        <v>2564</v>
      </c>
      <c r="B10" s="15">
        <v>0.52495717387974916</v>
      </c>
      <c r="C10" s="15">
        <v>0.3711684913156732</v>
      </c>
      <c r="D10" s="15">
        <v>2.6245886489133303E-2</v>
      </c>
      <c r="E10" s="15">
        <v>7.7628448315444312E-2</v>
      </c>
      <c r="F10" s="15">
        <v>1</v>
      </c>
    </row>
  </sheetData>
  <conditionalFormatting sqref="I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5BA2-E1E9-480E-8E26-DE5B9D129342}">
  <dimension ref="A3:B11"/>
  <sheetViews>
    <sheetView topLeftCell="A4" workbookViewId="0">
      <selection activeCell="A3" sqref="A3"/>
    </sheetView>
  </sheetViews>
  <sheetFormatPr defaultRowHeight="14.5" x14ac:dyDescent="0.35"/>
  <cols>
    <col min="1" max="2" width="12.453125" bestFit="1" customWidth="1"/>
  </cols>
  <sheetData>
    <row r="3" spans="1:2" x14ac:dyDescent="0.35">
      <c r="A3" s="12" t="s">
        <v>2563</v>
      </c>
      <c r="B3" t="s">
        <v>2552</v>
      </c>
    </row>
    <row r="4" spans="1:2" x14ac:dyDescent="0.35">
      <c r="A4" s="13">
        <v>1</v>
      </c>
      <c r="B4" s="25">
        <v>397</v>
      </c>
    </row>
    <row r="5" spans="1:2" x14ac:dyDescent="0.35">
      <c r="A5" s="13">
        <v>2</v>
      </c>
      <c r="B5" s="25">
        <v>540</v>
      </c>
    </row>
    <row r="6" spans="1:2" x14ac:dyDescent="0.35">
      <c r="A6" s="13">
        <v>3</v>
      </c>
      <c r="B6" s="25">
        <v>375</v>
      </c>
    </row>
    <row r="7" spans="1:2" x14ac:dyDescent="0.35">
      <c r="A7" s="13">
        <v>4</v>
      </c>
      <c r="B7" s="25">
        <v>246</v>
      </c>
    </row>
    <row r="8" spans="1:2" x14ac:dyDescent="0.35">
      <c r="A8" s="13">
        <v>5</v>
      </c>
      <c r="B8" s="25">
        <v>195</v>
      </c>
    </row>
    <row r="9" spans="1:2" x14ac:dyDescent="0.35">
      <c r="A9" s="13" t="s">
        <v>2570</v>
      </c>
      <c r="B9" s="25">
        <v>414</v>
      </c>
    </row>
    <row r="10" spans="1:2" x14ac:dyDescent="0.35">
      <c r="A10" s="13" t="s">
        <v>2571</v>
      </c>
      <c r="B10" s="25">
        <v>233</v>
      </c>
    </row>
    <row r="11" spans="1:2" x14ac:dyDescent="0.35">
      <c r="A11" s="13" t="s">
        <v>2564</v>
      </c>
      <c r="B11" s="25">
        <v>2400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67E0-E251-4180-BE34-EC190F7C96D1}">
  <dimension ref="A3:I25"/>
  <sheetViews>
    <sheetView workbookViewId="0">
      <selection activeCell="H3" sqref="H3"/>
    </sheetView>
  </sheetViews>
  <sheetFormatPr defaultRowHeight="14.5" x14ac:dyDescent="0.35"/>
  <cols>
    <col min="1" max="1" width="19" bestFit="1" customWidth="1"/>
    <col min="2" max="2" width="15.6328125" bestFit="1" customWidth="1"/>
    <col min="3" max="3" width="4.81640625" bestFit="1" customWidth="1"/>
    <col min="4" max="4" width="5.453125" bestFit="1" customWidth="1"/>
    <col min="6" max="6" width="10.36328125" bestFit="1" customWidth="1"/>
    <col min="8" max="8" width="12.453125" bestFit="1" customWidth="1"/>
    <col min="9" max="9" width="14.26953125" bestFit="1" customWidth="1"/>
    <col min="10" max="10" width="4.81640625" bestFit="1" customWidth="1"/>
    <col min="11" max="11" width="5.453125" bestFit="1" customWidth="1"/>
    <col min="13" max="13" width="10.36328125" bestFit="1" customWidth="1"/>
  </cols>
  <sheetData>
    <row r="3" spans="1:9" x14ac:dyDescent="0.35">
      <c r="A3" s="12" t="s">
        <v>2572</v>
      </c>
      <c r="B3" s="12" t="s">
        <v>2569</v>
      </c>
      <c r="H3" s="12" t="s">
        <v>2563</v>
      </c>
      <c r="I3" t="s">
        <v>2553</v>
      </c>
    </row>
    <row r="4" spans="1:9" x14ac:dyDescent="0.35">
      <c r="A4" s="12" t="s">
        <v>2563</v>
      </c>
      <c r="B4" t="s">
        <v>2567</v>
      </c>
      <c r="C4" t="s">
        <v>2566</v>
      </c>
      <c r="D4" t="s">
        <v>2568</v>
      </c>
      <c r="E4" t="s">
        <v>2565</v>
      </c>
      <c r="F4" t="s">
        <v>2564</v>
      </c>
      <c r="H4" s="13" t="s">
        <v>2567</v>
      </c>
      <c r="I4" s="25">
        <v>6272</v>
      </c>
    </row>
    <row r="5" spans="1:9" x14ac:dyDescent="0.35">
      <c r="A5" s="13" t="s">
        <v>44</v>
      </c>
      <c r="B5" s="25">
        <v>744</v>
      </c>
      <c r="C5" s="25">
        <v>713</v>
      </c>
      <c r="D5" s="25">
        <v>90</v>
      </c>
      <c r="E5" s="25">
        <v>98</v>
      </c>
      <c r="F5" s="25">
        <v>1645</v>
      </c>
      <c r="H5" s="13" t="s">
        <v>2566</v>
      </c>
      <c r="I5" s="25">
        <v>4672</v>
      </c>
    </row>
    <row r="6" spans="1:9" x14ac:dyDescent="0.35">
      <c r="A6" s="13" t="s">
        <v>39</v>
      </c>
      <c r="B6" s="25">
        <v>716</v>
      </c>
      <c r="C6" s="25">
        <v>598</v>
      </c>
      <c r="D6" s="25">
        <v>18</v>
      </c>
      <c r="E6" s="25">
        <v>214</v>
      </c>
      <c r="F6" s="25">
        <v>1546</v>
      </c>
      <c r="H6" s="13" t="s">
        <v>2568</v>
      </c>
      <c r="I6" s="25">
        <v>317</v>
      </c>
    </row>
    <row r="7" spans="1:9" x14ac:dyDescent="0.35">
      <c r="A7" s="13" t="s">
        <v>26</v>
      </c>
      <c r="B7" s="25">
        <v>627</v>
      </c>
      <c r="C7" s="25">
        <v>393</v>
      </c>
      <c r="D7" s="25">
        <v>29</v>
      </c>
      <c r="E7" s="25">
        <v>137</v>
      </c>
      <c r="F7" s="25">
        <v>1186</v>
      </c>
      <c r="H7" s="13" t="s">
        <v>2565</v>
      </c>
      <c r="I7" s="25">
        <v>736</v>
      </c>
    </row>
    <row r="8" spans="1:9" x14ac:dyDescent="0.35">
      <c r="A8" s="13" t="s">
        <v>22</v>
      </c>
      <c r="B8" s="25">
        <v>568</v>
      </c>
      <c r="C8" s="25">
        <v>306</v>
      </c>
      <c r="D8" s="25">
        <v>22</v>
      </c>
      <c r="E8" s="25">
        <v>16</v>
      </c>
      <c r="F8" s="25">
        <v>912</v>
      </c>
      <c r="H8" s="13" t="s">
        <v>2564</v>
      </c>
      <c r="I8" s="25">
        <v>11997</v>
      </c>
    </row>
    <row r="9" spans="1:9" x14ac:dyDescent="0.35">
      <c r="A9" s="13" t="s">
        <v>54</v>
      </c>
      <c r="B9" s="25">
        <v>482</v>
      </c>
      <c r="C9" s="25">
        <v>295</v>
      </c>
      <c r="D9" s="25">
        <v>8</v>
      </c>
      <c r="E9" s="25">
        <v>22</v>
      </c>
      <c r="F9" s="25">
        <v>807</v>
      </c>
    </row>
    <row r="10" spans="1:9" x14ac:dyDescent="0.35">
      <c r="A10" s="13" t="s">
        <v>16</v>
      </c>
      <c r="B10" s="25">
        <v>428</v>
      </c>
      <c r="C10" s="25">
        <v>293</v>
      </c>
      <c r="D10" s="25"/>
      <c r="E10" s="25">
        <v>24</v>
      </c>
      <c r="F10" s="25">
        <v>745</v>
      </c>
    </row>
    <row r="11" spans="1:9" x14ac:dyDescent="0.35">
      <c r="A11" s="13" t="s">
        <v>46</v>
      </c>
      <c r="B11" s="25">
        <v>445</v>
      </c>
      <c r="C11" s="25">
        <v>202</v>
      </c>
      <c r="D11" s="25">
        <v>14</v>
      </c>
      <c r="E11" s="25">
        <v>39</v>
      </c>
      <c r="F11" s="25">
        <v>700</v>
      </c>
    </row>
    <row r="12" spans="1:9" x14ac:dyDescent="0.35">
      <c r="A12" s="13" t="s">
        <v>32</v>
      </c>
      <c r="B12" s="25">
        <v>431</v>
      </c>
      <c r="C12" s="25">
        <v>187</v>
      </c>
      <c r="D12" s="25">
        <v>14</v>
      </c>
      <c r="E12" s="25">
        <v>15</v>
      </c>
      <c r="F12" s="25">
        <v>647</v>
      </c>
    </row>
    <row r="13" spans="1:9" x14ac:dyDescent="0.35">
      <c r="A13" s="13" t="s">
        <v>42</v>
      </c>
      <c r="B13" s="25">
        <v>264</v>
      </c>
      <c r="C13" s="25">
        <v>318</v>
      </c>
      <c r="D13" s="25">
        <v>15</v>
      </c>
      <c r="E13" s="25">
        <v>9</v>
      </c>
      <c r="F13" s="25">
        <v>606</v>
      </c>
    </row>
    <row r="14" spans="1:9" x14ac:dyDescent="0.35">
      <c r="A14" s="13" t="s">
        <v>37</v>
      </c>
      <c r="B14" s="25">
        <v>296</v>
      </c>
      <c r="C14" s="25">
        <v>275</v>
      </c>
      <c r="D14" s="25">
        <v>9</v>
      </c>
      <c r="E14" s="25">
        <v>23</v>
      </c>
      <c r="F14" s="25">
        <v>603</v>
      </c>
    </row>
    <row r="15" spans="1:9" x14ac:dyDescent="0.35">
      <c r="A15" s="13" t="s">
        <v>123</v>
      </c>
      <c r="B15" s="25">
        <v>153</v>
      </c>
      <c r="C15" s="25">
        <v>246</v>
      </c>
      <c r="D15" s="25">
        <v>30</v>
      </c>
      <c r="E15" s="25">
        <v>8</v>
      </c>
      <c r="F15" s="25">
        <v>437</v>
      </c>
    </row>
    <row r="16" spans="1:9" x14ac:dyDescent="0.35">
      <c r="A16" s="13" t="s">
        <v>146</v>
      </c>
      <c r="B16" s="25">
        <v>189</v>
      </c>
      <c r="C16" s="25">
        <v>168</v>
      </c>
      <c r="D16" s="25">
        <v>10</v>
      </c>
      <c r="E16" s="25">
        <v>31</v>
      </c>
      <c r="F16" s="25">
        <v>398</v>
      </c>
    </row>
    <row r="17" spans="1:6" x14ac:dyDescent="0.35">
      <c r="A17" s="13" t="s">
        <v>69</v>
      </c>
      <c r="B17" s="25">
        <v>234</v>
      </c>
      <c r="C17" s="25">
        <v>93</v>
      </c>
      <c r="D17" s="25">
        <v>19</v>
      </c>
      <c r="E17" s="25">
        <v>24</v>
      </c>
      <c r="F17" s="25">
        <v>370</v>
      </c>
    </row>
    <row r="18" spans="1:6" x14ac:dyDescent="0.35">
      <c r="A18" s="13" t="s">
        <v>30</v>
      </c>
      <c r="B18" s="25">
        <v>146</v>
      </c>
      <c r="C18" s="25">
        <v>94</v>
      </c>
      <c r="D18" s="25">
        <v>4</v>
      </c>
      <c r="E18" s="25">
        <v>28</v>
      </c>
      <c r="F18" s="25">
        <v>272</v>
      </c>
    </row>
    <row r="19" spans="1:6" x14ac:dyDescent="0.35">
      <c r="A19" s="13" t="s">
        <v>135</v>
      </c>
      <c r="B19" s="25">
        <v>127</v>
      </c>
      <c r="C19" s="25">
        <v>118</v>
      </c>
      <c r="D19" s="25">
        <v>13</v>
      </c>
      <c r="E19" s="25">
        <v>12</v>
      </c>
      <c r="F19" s="25">
        <v>270</v>
      </c>
    </row>
    <row r="20" spans="1:6" x14ac:dyDescent="0.35">
      <c r="A20" s="13" t="s">
        <v>67</v>
      </c>
      <c r="B20" s="25">
        <v>179</v>
      </c>
      <c r="C20" s="25">
        <v>76</v>
      </c>
      <c r="D20" s="25">
        <v>3</v>
      </c>
      <c r="E20" s="25"/>
      <c r="F20" s="25">
        <v>258</v>
      </c>
    </row>
    <row r="21" spans="1:6" x14ac:dyDescent="0.35">
      <c r="A21" s="13" t="s">
        <v>128</v>
      </c>
      <c r="B21" s="25">
        <v>99</v>
      </c>
      <c r="C21" s="25">
        <v>69</v>
      </c>
      <c r="D21" s="25">
        <v>3</v>
      </c>
      <c r="E21" s="25">
        <v>24</v>
      </c>
      <c r="F21" s="25">
        <v>195</v>
      </c>
    </row>
    <row r="22" spans="1:6" x14ac:dyDescent="0.35">
      <c r="A22" s="13" t="s">
        <v>76</v>
      </c>
      <c r="B22" s="25">
        <v>75</v>
      </c>
      <c r="C22" s="25">
        <v>103</v>
      </c>
      <c r="D22" s="25">
        <v>4</v>
      </c>
      <c r="E22" s="25">
        <v>6</v>
      </c>
      <c r="F22" s="25">
        <v>188</v>
      </c>
    </row>
    <row r="23" spans="1:6" x14ac:dyDescent="0.35">
      <c r="A23" s="13" t="s">
        <v>81</v>
      </c>
      <c r="B23" s="25">
        <v>43</v>
      </c>
      <c r="C23" s="25">
        <v>90</v>
      </c>
      <c r="D23" s="25">
        <v>8</v>
      </c>
      <c r="E23" s="25">
        <v>6</v>
      </c>
      <c r="F23" s="25">
        <v>147</v>
      </c>
    </row>
    <row r="24" spans="1:6" x14ac:dyDescent="0.35">
      <c r="A24" s="13" t="s">
        <v>171</v>
      </c>
      <c r="B24" s="25">
        <v>26</v>
      </c>
      <c r="C24" s="25">
        <v>35</v>
      </c>
      <c r="D24" s="25">
        <v>4</v>
      </c>
      <c r="E24" s="25"/>
      <c r="F24" s="25">
        <v>65</v>
      </c>
    </row>
    <row r="25" spans="1:6" x14ac:dyDescent="0.35">
      <c r="A25" s="13" t="s">
        <v>2564</v>
      </c>
      <c r="B25" s="25">
        <v>6272</v>
      </c>
      <c r="C25" s="25">
        <v>4672</v>
      </c>
      <c r="D25" s="25">
        <v>317</v>
      </c>
      <c r="E25" s="25">
        <v>736</v>
      </c>
      <c r="F25" s="25">
        <v>11997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5B9C-4541-4461-895F-669C19D2D1B4}">
  <dimension ref="A3:L84"/>
  <sheetViews>
    <sheetView topLeftCell="A68" workbookViewId="0">
      <selection activeCell="J77" sqref="J77"/>
    </sheetView>
  </sheetViews>
  <sheetFormatPr defaultRowHeight="14.5" x14ac:dyDescent="0.35"/>
  <cols>
    <col min="1" max="1" width="23.1796875" bestFit="1" customWidth="1"/>
    <col min="2" max="2" width="19.81640625" bestFit="1" customWidth="1"/>
    <col min="3" max="3" width="14.26953125" bestFit="1" customWidth="1"/>
    <col min="4" max="4" width="13.6328125" bestFit="1" customWidth="1"/>
    <col min="7" max="7" width="14.08984375" bestFit="1" customWidth="1"/>
    <col min="8" max="8" width="13.6328125" bestFit="1" customWidth="1"/>
    <col min="11" max="11" width="19.81640625" bestFit="1" customWidth="1"/>
    <col min="12" max="12" width="13.6328125" bestFit="1" customWidth="1"/>
  </cols>
  <sheetData>
    <row r="3" spans="1:12" x14ac:dyDescent="0.35">
      <c r="A3" s="12" t="s">
        <v>10</v>
      </c>
      <c r="B3" s="12" t="s">
        <v>11</v>
      </c>
      <c r="C3" t="s">
        <v>2553</v>
      </c>
      <c r="D3" t="s">
        <v>2554</v>
      </c>
      <c r="F3" t="str">
        <f>A3</f>
        <v>State</v>
      </c>
      <c r="G3" t="str">
        <f t="shared" ref="G3:H4" si="0">B3</f>
        <v>County</v>
      </c>
      <c r="H3" t="str">
        <f t="shared" si="0"/>
        <v>Sum of Quantity</v>
      </c>
      <c r="J3" t="str">
        <f>A3</f>
        <v>State</v>
      </c>
      <c r="K3" t="str">
        <f t="shared" ref="K3:K62" si="1">B3</f>
        <v>County</v>
      </c>
      <c r="L3" t="str">
        <f>D3</f>
        <v>Sum of Amount</v>
      </c>
    </row>
    <row r="4" spans="1:12" x14ac:dyDescent="0.35">
      <c r="A4" t="s">
        <v>19</v>
      </c>
      <c r="B4" t="s">
        <v>115</v>
      </c>
      <c r="C4" s="25">
        <v>579</v>
      </c>
      <c r="D4" s="25">
        <v>31884.999999999996</v>
      </c>
      <c r="F4" t="str">
        <f>IF(A4="","",A4)</f>
        <v>California</v>
      </c>
      <c r="G4" t="str">
        <f t="shared" ref="G4:H4" si="2">IF(B4="","",B4)</f>
        <v>Alameda County</v>
      </c>
      <c r="H4">
        <f t="shared" si="2"/>
        <v>579</v>
      </c>
      <c r="J4" t="str">
        <f>IF(A4="","",A4)</f>
        <v>California</v>
      </c>
      <c r="K4" t="str">
        <f t="shared" ref="K4:L4" si="3">IF(B4="","",B4)</f>
        <v>Alameda County</v>
      </c>
      <c r="L4">
        <f t="shared" si="3"/>
        <v>579</v>
      </c>
    </row>
    <row r="5" spans="1:12" x14ac:dyDescent="0.35">
      <c r="A5" t="s">
        <v>19</v>
      </c>
      <c r="B5" t="s">
        <v>20</v>
      </c>
      <c r="C5" s="25">
        <v>1</v>
      </c>
      <c r="D5" s="25">
        <v>10.9</v>
      </c>
      <c r="F5" t="str">
        <f t="shared" ref="F5:F68" si="4">IF(A5="","",A5)</f>
        <v>California</v>
      </c>
      <c r="G5" t="str">
        <f t="shared" ref="G5:G68" si="5">IF(B5="","",B5)</f>
        <v>Alpine County</v>
      </c>
      <c r="H5">
        <f t="shared" ref="H5:H68" si="6">IF(C5="","",C5)</f>
        <v>1</v>
      </c>
      <c r="J5" t="str">
        <f t="shared" ref="J5:J68" si="7">IF(A5="","",A5)</f>
        <v>California</v>
      </c>
      <c r="K5" t="str">
        <f t="shared" ref="K5:K68" si="8">IF(B5="","",B5)</f>
        <v>Alpine County</v>
      </c>
      <c r="L5">
        <f t="shared" ref="L5:L68" si="9">IF(C5="","",C5)</f>
        <v>1</v>
      </c>
    </row>
    <row r="6" spans="1:12" x14ac:dyDescent="0.35">
      <c r="A6" t="s">
        <v>19</v>
      </c>
      <c r="B6" t="s">
        <v>641</v>
      </c>
      <c r="C6" s="25">
        <v>9</v>
      </c>
      <c r="D6" s="25">
        <v>800.3</v>
      </c>
      <c r="F6" t="str">
        <f t="shared" si="4"/>
        <v>California</v>
      </c>
      <c r="G6" t="str">
        <f t="shared" si="5"/>
        <v>Amador County</v>
      </c>
      <c r="H6">
        <f t="shared" si="6"/>
        <v>9</v>
      </c>
      <c r="J6" t="str">
        <f t="shared" si="7"/>
        <v>California</v>
      </c>
      <c r="K6" t="str">
        <f t="shared" si="8"/>
        <v>Amador County</v>
      </c>
      <c r="L6">
        <f t="shared" si="9"/>
        <v>9</v>
      </c>
    </row>
    <row r="7" spans="1:12" x14ac:dyDescent="0.35">
      <c r="A7" t="s">
        <v>19</v>
      </c>
      <c r="B7" t="s">
        <v>967</v>
      </c>
      <c r="C7" s="25">
        <v>35</v>
      </c>
      <c r="D7" s="25">
        <v>1062.5999999999999</v>
      </c>
      <c r="F7" t="str">
        <f t="shared" si="4"/>
        <v>California</v>
      </c>
      <c r="G7" t="str">
        <f t="shared" si="5"/>
        <v>Butte County</v>
      </c>
      <c r="H7">
        <f t="shared" si="6"/>
        <v>35</v>
      </c>
      <c r="J7" t="str">
        <f t="shared" si="7"/>
        <v>California</v>
      </c>
      <c r="K7" t="str">
        <f t="shared" si="8"/>
        <v>Butte County</v>
      </c>
      <c r="L7">
        <f t="shared" si="9"/>
        <v>35</v>
      </c>
    </row>
    <row r="8" spans="1:12" x14ac:dyDescent="0.35">
      <c r="A8" t="s">
        <v>19</v>
      </c>
      <c r="B8" t="s">
        <v>84</v>
      </c>
      <c r="C8" s="25">
        <v>12</v>
      </c>
      <c r="D8" s="25">
        <v>326.20000000000005</v>
      </c>
      <c r="F8" t="str">
        <f t="shared" si="4"/>
        <v>California</v>
      </c>
      <c r="G8" t="str">
        <f t="shared" si="5"/>
        <v>Calaveras County</v>
      </c>
      <c r="H8">
        <f t="shared" si="6"/>
        <v>12</v>
      </c>
      <c r="J8" t="str">
        <f t="shared" si="7"/>
        <v>California</v>
      </c>
      <c r="K8" t="str">
        <f t="shared" si="8"/>
        <v>Calaveras County</v>
      </c>
      <c r="L8">
        <f t="shared" si="9"/>
        <v>12</v>
      </c>
    </row>
    <row r="9" spans="1:12" x14ac:dyDescent="0.35">
      <c r="A9" t="s">
        <v>19</v>
      </c>
      <c r="B9" t="s">
        <v>1383</v>
      </c>
      <c r="C9" s="25">
        <v>4</v>
      </c>
      <c r="D9" s="25">
        <v>167.5</v>
      </c>
      <c r="F9" t="str">
        <f t="shared" si="4"/>
        <v>California</v>
      </c>
      <c r="G9" t="str">
        <f t="shared" si="5"/>
        <v>Colusa County</v>
      </c>
      <c r="H9">
        <f t="shared" si="6"/>
        <v>4</v>
      </c>
      <c r="J9" t="str">
        <f t="shared" si="7"/>
        <v>California</v>
      </c>
      <c r="K9" t="str">
        <f t="shared" si="8"/>
        <v>Colusa County</v>
      </c>
      <c r="L9">
        <f t="shared" si="9"/>
        <v>4</v>
      </c>
    </row>
    <row r="10" spans="1:12" x14ac:dyDescent="0.35">
      <c r="A10" t="s">
        <v>19</v>
      </c>
      <c r="B10" t="s">
        <v>24</v>
      </c>
      <c r="C10" s="25">
        <v>341</v>
      </c>
      <c r="D10" s="25">
        <v>16168.7</v>
      </c>
      <c r="F10" t="str">
        <f t="shared" si="4"/>
        <v>California</v>
      </c>
      <c r="G10" t="str">
        <f t="shared" si="5"/>
        <v>Contra Costa County</v>
      </c>
      <c r="H10">
        <f t="shared" si="6"/>
        <v>341</v>
      </c>
      <c r="J10" t="str">
        <f t="shared" si="7"/>
        <v>California</v>
      </c>
      <c r="K10" t="str">
        <f t="shared" si="8"/>
        <v>Contra Costa County</v>
      </c>
      <c r="L10">
        <f t="shared" si="9"/>
        <v>341</v>
      </c>
    </row>
    <row r="11" spans="1:12" x14ac:dyDescent="0.35">
      <c r="A11" t="s">
        <v>19</v>
      </c>
      <c r="B11" t="s">
        <v>2204</v>
      </c>
      <c r="C11" s="25">
        <v>13</v>
      </c>
      <c r="D11" s="25">
        <v>322.40000000000003</v>
      </c>
      <c r="F11" t="str">
        <f t="shared" si="4"/>
        <v>California</v>
      </c>
      <c r="G11" t="str">
        <f t="shared" si="5"/>
        <v>Del Norte County</v>
      </c>
      <c r="H11">
        <f t="shared" si="6"/>
        <v>13</v>
      </c>
      <c r="J11" t="str">
        <f t="shared" si="7"/>
        <v>California</v>
      </c>
      <c r="K11" t="str">
        <f t="shared" si="8"/>
        <v>Del Norte County</v>
      </c>
      <c r="L11">
        <f t="shared" si="9"/>
        <v>13</v>
      </c>
    </row>
    <row r="12" spans="1:12" x14ac:dyDescent="0.35">
      <c r="A12" t="s">
        <v>19</v>
      </c>
      <c r="B12" t="s">
        <v>437</v>
      </c>
      <c r="C12" s="25">
        <v>31</v>
      </c>
      <c r="D12" s="25">
        <v>2092.8000000000002</v>
      </c>
      <c r="F12" t="str">
        <f t="shared" si="4"/>
        <v>California</v>
      </c>
      <c r="G12" t="str">
        <f t="shared" si="5"/>
        <v>El Dorado County</v>
      </c>
      <c r="H12">
        <f t="shared" si="6"/>
        <v>31</v>
      </c>
      <c r="J12" t="str">
        <f t="shared" si="7"/>
        <v>California</v>
      </c>
      <c r="K12" t="str">
        <f t="shared" si="8"/>
        <v>El Dorado County</v>
      </c>
      <c r="L12">
        <f t="shared" si="9"/>
        <v>31</v>
      </c>
    </row>
    <row r="13" spans="1:12" x14ac:dyDescent="0.35">
      <c r="A13" t="s">
        <v>19</v>
      </c>
      <c r="B13" t="s">
        <v>28</v>
      </c>
      <c r="C13" s="25">
        <v>279</v>
      </c>
      <c r="D13" s="25">
        <v>12662.500000000002</v>
      </c>
      <c r="F13" t="str">
        <f t="shared" si="4"/>
        <v>California</v>
      </c>
      <c r="G13" t="str">
        <f t="shared" si="5"/>
        <v>Fresno County</v>
      </c>
      <c r="H13">
        <f t="shared" si="6"/>
        <v>279</v>
      </c>
      <c r="J13" t="str">
        <f t="shared" si="7"/>
        <v>California</v>
      </c>
      <c r="K13" t="str">
        <f t="shared" si="8"/>
        <v>Fresno County</v>
      </c>
      <c r="L13">
        <f t="shared" si="9"/>
        <v>279</v>
      </c>
    </row>
    <row r="14" spans="1:12" x14ac:dyDescent="0.35">
      <c r="A14" t="s">
        <v>19</v>
      </c>
      <c r="B14" t="s">
        <v>208</v>
      </c>
      <c r="C14" s="25">
        <v>9</v>
      </c>
      <c r="D14" s="25">
        <v>343.2</v>
      </c>
      <c r="F14" t="str">
        <f t="shared" si="4"/>
        <v>California</v>
      </c>
      <c r="G14" t="str">
        <f t="shared" si="5"/>
        <v>Glenn County</v>
      </c>
      <c r="H14">
        <f t="shared" si="6"/>
        <v>9</v>
      </c>
      <c r="J14" t="str">
        <f t="shared" si="7"/>
        <v>California</v>
      </c>
      <c r="K14" t="str">
        <f t="shared" si="8"/>
        <v>Glenn County</v>
      </c>
      <c r="L14">
        <f t="shared" si="9"/>
        <v>9</v>
      </c>
    </row>
    <row r="15" spans="1:12" x14ac:dyDescent="0.35">
      <c r="A15" t="s">
        <v>19</v>
      </c>
      <c r="B15" t="s">
        <v>587</v>
      </c>
      <c r="C15" s="25">
        <v>49</v>
      </c>
      <c r="D15" s="25">
        <v>2188.2999999999997</v>
      </c>
      <c r="F15" t="str">
        <f t="shared" si="4"/>
        <v>California</v>
      </c>
      <c r="G15" t="str">
        <f t="shared" si="5"/>
        <v>Humboldt County</v>
      </c>
      <c r="H15">
        <f t="shared" si="6"/>
        <v>49</v>
      </c>
      <c r="J15" t="str">
        <f t="shared" si="7"/>
        <v>California</v>
      </c>
      <c r="K15" t="str">
        <f t="shared" si="8"/>
        <v>Humboldt County</v>
      </c>
      <c r="L15">
        <f t="shared" si="9"/>
        <v>49</v>
      </c>
    </row>
    <row r="16" spans="1:12" x14ac:dyDescent="0.35">
      <c r="A16" t="s">
        <v>19</v>
      </c>
      <c r="B16" t="s">
        <v>331</v>
      </c>
      <c r="C16" s="25">
        <v>59</v>
      </c>
      <c r="D16" s="25">
        <v>2661.5999999999995</v>
      </c>
      <c r="F16" t="str">
        <f t="shared" si="4"/>
        <v>California</v>
      </c>
      <c r="G16" t="str">
        <f t="shared" si="5"/>
        <v>Imperial County</v>
      </c>
      <c r="H16">
        <f t="shared" si="6"/>
        <v>59</v>
      </c>
      <c r="J16" t="str">
        <f t="shared" si="7"/>
        <v>California</v>
      </c>
      <c r="K16" t="str">
        <f t="shared" si="8"/>
        <v>Imperial County</v>
      </c>
      <c r="L16">
        <f t="shared" si="9"/>
        <v>59</v>
      </c>
    </row>
    <row r="17" spans="1:12" x14ac:dyDescent="0.35">
      <c r="A17" t="s">
        <v>19</v>
      </c>
      <c r="B17" t="s">
        <v>86</v>
      </c>
      <c r="C17" s="25">
        <v>8</v>
      </c>
      <c r="D17" s="25">
        <v>887.5</v>
      </c>
      <c r="F17" t="str">
        <f t="shared" si="4"/>
        <v>California</v>
      </c>
      <c r="G17" t="str">
        <f t="shared" si="5"/>
        <v>Inyo County</v>
      </c>
      <c r="H17">
        <f t="shared" si="6"/>
        <v>8</v>
      </c>
      <c r="J17" t="str">
        <f t="shared" si="7"/>
        <v>California</v>
      </c>
      <c r="K17" t="str">
        <f t="shared" si="8"/>
        <v>Inyo County</v>
      </c>
      <c r="L17">
        <f t="shared" si="9"/>
        <v>8</v>
      </c>
    </row>
    <row r="18" spans="1:12" x14ac:dyDescent="0.35">
      <c r="A18" t="s">
        <v>19</v>
      </c>
      <c r="B18" t="s">
        <v>147</v>
      </c>
      <c r="C18" s="25">
        <v>222</v>
      </c>
      <c r="D18" s="25">
        <v>11354.199999999993</v>
      </c>
      <c r="F18" t="str">
        <f t="shared" si="4"/>
        <v>California</v>
      </c>
      <c r="G18" t="str">
        <f t="shared" si="5"/>
        <v>Kern County</v>
      </c>
      <c r="H18">
        <f t="shared" si="6"/>
        <v>222</v>
      </c>
      <c r="J18" t="str">
        <f t="shared" si="7"/>
        <v>California</v>
      </c>
      <c r="K18" t="str">
        <f t="shared" si="8"/>
        <v>Kern County</v>
      </c>
      <c r="L18">
        <f t="shared" si="9"/>
        <v>222</v>
      </c>
    </row>
    <row r="19" spans="1:12" x14ac:dyDescent="0.35">
      <c r="A19" t="s">
        <v>19</v>
      </c>
      <c r="B19" t="s">
        <v>334</v>
      </c>
      <c r="C19" s="25">
        <v>36</v>
      </c>
      <c r="D19" s="25">
        <v>1558.4</v>
      </c>
      <c r="F19" t="str">
        <f t="shared" si="4"/>
        <v>California</v>
      </c>
      <c r="G19" t="str">
        <f t="shared" si="5"/>
        <v>Kings County</v>
      </c>
      <c r="H19">
        <f t="shared" si="6"/>
        <v>36</v>
      </c>
      <c r="J19" t="str">
        <f t="shared" si="7"/>
        <v>California</v>
      </c>
      <c r="K19" t="str">
        <f t="shared" si="8"/>
        <v>Kings County</v>
      </c>
      <c r="L19">
        <f t="shared" si="9"/>
        <v>36</v>
      </c>
    </row>
    <row r="20" spans="1:12" x14ac:dyDescent="0.35">
      <c r="A20" t="s">
        <v>19</v>
      </c>
      <c r="B20" t="s">
        <v>949</v>
      </c>
      <c r="C20" s="25">
        <v>30</v>
      </c>
      <c r="D20" s="25">
        <v>2223.9</v>
      </c>
      <c r="F20" t="str">
        <f t="shared" si="4"/>
        <v>California</v>
      </c>
      <c r="G20" t="str">
        <f t="shared" si="5"/>
        <v>Lake County</v>
      </c>
      <c r="H20">
        <f t="shared" si="6"/>
        <v>30</v>
      </c>
      <c r="J20" t="str">
        <f t="shared" si="7"/>
        <v>California</v>
      </c>
      <c r="K20" t="str">
        <f t="shared" si="8"/>
        <v>Lake County</v>
      </c>
      <c r="L20">
        <f t="shared" si="9"/>
        <v>30</v>
      </c>
    </row>
    <row r="21" spans="1:12" x14ac:dyDescent="0.35">
      <c r="A21" t="s">
        <v>19</v>
      </c>
      <c r="B21" t="s">
        <v>1426</v>
      </c>
      <c r="C21" s="25">
        <v>1</v>
      </c>
      <c r="D21" s="25">
        <v>26.2</v>
      </c>
      <c r="F21" t="str">
        <f t="shared" si="4"/>
        <v>California</v>
      </c>
      <c r="G21" t="str">
        <f t="shared" si="5"/>
        <v>Lassen County</v>
      </c>
      <c r="H21">
        <f t="shared" si="6"/>
        <v>1</v>
      </c>
      <c r="J21" t="str">
        <f t="shared" si="7"/>
        <v>California</v>
      </c>
      <c r="K21" t="str">
        <f t="shared" si="8"/>
        <v>Lassen County</v>
      </c>
      <c r="L21">
        <f t="shared" si="9"/>
        <v>1</v>
      </c>
    </row>
    <row r="22" spans="1:12" x14ac:dyDescent="0.35">
      <c r="A22" t="s">
        <v>19</v>
      </c>
      <c r="B22" t="s">
        <v>33</v>
      </c>
      <c r="C22" s="25">
        <v>3991</v>
      </c>
      <c r="D22" s="25">
        <v>215551.19999999981</v>
      </c>
      <c r="F22" t="str">
        <f t="shared" si="4"/>
        <v>California</v>
      </c>
      <c r="G22" t="str">
        <f t="shared" si="5"/>
        <v>Los Angeles County</v>
      </c>
      <c r="H22">
        <f t="shared" si="6"/>
        <v>3991</v>
      </c>
      <c r="J22" t="str">
        <f t="shared" si="7"/>
        <v>California</v>
      </c>
      <c r="K22" t="str">
        <f t="shared" si="8"/>
        <v>Los Angeles County</v>
      </c>
      <c r="L22">
        <f t="shared" si="9"/>
        <v>3991</v>
      </c>
    </row>
    <row r="23" spans="1:12" x14ac:dyDescent="0.35">
      <c r="A23" t="s">
        <v>19</v>
      </c>
      <c r="B23" t="s">
        <v>364</v>
      </c>
      <c r="C23" s="25">
        <v>45</v>
      </c>
      <c r="D23" s="25">
        <v>2687.3999999999996</v>
      </c>
      <c r="F23" t="str">
        <f t="shared" si="4"/>
        <v>California</v>
      </c>
      <c r="G23" t="str">
        <f t="shared" si="5"/>
        <v>Madera County</v>
      </c>
      <c r="H23">
        <f t="shared" si="6"/>
        <v>45</v>
      </c>
      <c r="J23" t="str">
        <f t="shared" si="7"/>
        <v>California</v>
      </c>
      <c r="K23" t="str">
        <f t="shared" si="8"/>
        <v>Madera County</v>
      </c>
      <c r="L23">
        <f t="shared" si="9"/>
        <v>45</v>
      </c>
    </row>
    <row r="24" spans="1:12" x14ac:dyDescent="0.35">
      <c r="A24" t="s">
        <v>19</v>
      </c>
      <c r="B24" t="s">
        <v>545</v>
      </c>
      <c r="C24" s="25">
        <v>39</v>
      </c>
      <c r="D24" s="25">
        <v>1463.3000000000002</v>
      </c>
      <c r="F24" t="str">
        <f t="shared" si="4"/>
        <v>California</v>
      </c>
      <c r="G24" t="str">
        <f t="shared" si="5"/>
        <v>Marin County</v>
      </c>
      <c r="H24">
        <f t="shared" si="6"/>
        <v>39</v>
      </c>
      <c r="J24" t="str">
        <f t="shared" si="7"/>
        <v>California</v>
      </c>
      <c r="K24" t="str">
        <f t="shared" si="8"/>
        <v>Marin County</v>
      </c>
      <c r="L24">
        <f t="shared" si="9"/>
        <v>39</v>
      </c>
    </row>
    <row r="25" spans="1:12" x14ac:dyDescent="0.35">
      <c r="A25" t="s">
        <v>19</v>
      </c>
      <c r="B25" t="s">
        <v>416</v>
      </c>
      <c r="C25" s="25">
        <v>6</v>
      </c>
      <c r="D25" s="25">
        <v>445.79999999999995</v>
      </c>
      <c r="F25" t="str">
        <f t="shared" si="4"/>
        <v>California</v>
      </c>
      <c r="G25" t="str">
        <f t="shared" si="5"/>
        <v>Mariposa County</v>
      </c>
      <c r="H25">
        <f t="shared" si="6"/>
        <v>6</v>
      </c>
      <c r="J25" t="str">
        <f t="shared" si="7"/>
        <v>California</v>
      </c>
      <c r="K25" t="str">
        <f t="shared" si="8"/>
        <v>Mariposa County</v>
      </c>
      <c r="L25">
        <f t="shared" si="9"/>
        <v>6</v>
      </c>
    </row>
    <row r="26" spans="1:12" x14ac:dyDescent="0.35">
      <c r="A26" t="s">
        <v>19</v>
      </c>
      <c r="B26" t="s">
        <v>258</v>
      </c>
      <c r="C26" s="25">
        <v>9</v>
      </c>
      <c r="D26" s="25">
        <v>273.59999999999997</v>
      </c>
      <c r="F26" t="str">
        <f t="shared" si="4"/>
        <v>California</v>
      </c>
      <c r="G26" t="str">
        <f t="shared" si="5"/>
        <v>Mendocino County</v>
      </c>
      <c r="H26">
        <f t="shared" si="6"/>
        <v>9</v>
      </c>
      <c r="J26" t="str">
        <f t="shared" si="7"/>
        <v>California</v>
      </c>
      <c r="K26" t="str">
        <f t="shared" si="8"/>
        <v>Mendocino County</v>
      </c>
      <c r="L26">
        <f t="shared" si="9"/>
        <v>9</v>
      </c>
    </row>
    <row r="27" spans="1:12" x14ac:dyDescent="0.35">
      <c r="A27" t="s">
        <v>19</v>
      </c>
      <c r="B27" t="s">
        <v>186</v>
      </c>
      <c r="C27" s="25">
        <v>60</v>
      </c>
      <c r="D27" s="25">
        <v>2690.4</v>
      </c>
      <c r="F27" t="str">
        <f t="shared" si="4"/>
        <v>California</v>
      </c>
      <c r="G27" t="str">
        <f t="shared" si="5"/>
        <v>Merced County</v>
      </c>
      <c r="H27">
        <f t="shared" si="6"/>
        <v>60</v>
      </c>
      <c r="J27" t="str">
        <f t="shared" si="7"/>
        <v>California</v>
      </c>
      <c r="K27" t="str">
        <f t="shared" si="8"/>
        <v>Merced County</v>
      </c>
      <c r="L27">
        <f t="shared" si="9"/>
        <v>60</v>
      </c>
    </row>
    <row r="28" spans="1:12" x14ac:dyDescent="0.35">
      <c r="A28" t="s">
        <v>19</v>
      </c>
      <c r="B28" t="s">
        <v>392</v>
      </c>
      <c r="C28" s="25">
        <v>2</v>
      </c>
      <c r="D28" s="25">
        <v>28.4</v>
      </c>
      <c r="F28" t="str">
        <f t="shared" si="4"/>
        <v>California</v>
      </c>
      <c r="G28" t="str">
        <f t="shared" si="5"/>
        <v>Modoc County</v>
      </c>
      <c r="H28">
        <f t="shared" si="6"/>
        <v>2</v>
      </c>
      <c r="J28" t="str">
        <f t="shared" si="7"/>
        <v>California</v>
      </c>
      <c r="K28" t="str">
        <f t="shared" si="8"/>
        <v>Modoc County</v>
      </c>
      <c r="L28">
        <f t="shared" si="9"/>
        <v>2</v>
      </c>
    </row>
    <row r="29" spans="1:12" x14ac:dyDescent="0.35">
      <c r="A29" t="s">
        <v>19</v>
      </c>
      <c r="B29" t="s">
        <v>670</v>
      </c>
      <c r="C29" s="25">
        <v>4</v>
      </c>
      <c r="D29" s="25">
        <v>204.8</v>
      </c>
      <c r="F29" t="str">
        <f t="shared" si="4"/>
        <v>California</v>
      </c>
      <c r="G29" t="str">
        <f t="shared" si="5"/>
        <v>Mono County</v>
      </c>
      <c r="H29">
        <f t="shared" si="6"/>
        <v>4</v>
      </c>
      <c r="J29" t="str">
        <f t="shared" si="7"/>
        <v>California</v>
      </c>
      <c r="K29" t="str">
        <f t="shared" si="8"/>
        <v>Mono County</v>
      </c>
      <c r="L29">
        <f t="shared" si="9"/>
        <v>4</v>
      </c>
    </row>
    <row r="30" spans="1:12" x14ac:dyDescent="0.35">
      <c r="A30" t="s">
        <v>19</v>
      </c>
      <c r="B30" t="s">
        <v>802</v>
      </c>
      <c r="C30" s="25">
        <v>31</v>
      </c>
      <c r="D30" s="25">
        <v>1607.8999999999999</v>
      </c>
      <c r="F30" t="str">
        <f t="shared" si="4"/>
        <v>California</v>
      </c>
      <c r="G30" t="str">
        <f t="shared" si="5"/>
        <v>Monterey County</v>
      </c>
      <c r="H30">
        <f t="shared" si="6"/>
        <v>31</v>
      </c>
      <c r="J30" t="str">
        <f t="shared" si="7"/>
        <v>California</v>
      </c>
      <c r="K30" t="str">
        <f t="shared" si="8"/>
        <v>Monterey County</v>
      </c>
      <c r="L30">
        <f t="shared" si="9"/>
        <v>31</v>
      </c>
    </row>
    <row r="31" spans="1:12" x14ac:dyDescent="0.35">
      <c r="A31" t="s">
        <v>19</v>
      </c>
      <c r="B31" t="s">
        <v>98</v>
      </c>
      <c r="C31" s="25">
        <v>88</v>
      </c>
      <c r="D31" s="25">
        <v>6444.9</v>
      </c>
      <c r="F31" t="str">
        <f t="shared" si="4"/>
        <v>California</v>
      </c>
      <c r="G31" t="str">
        <f t="shared" si="5"/>
        <v>Napa County</v>
      </c>
      <c r="H31">
        <f t="shared" si="6"/>
        <v>88</v>
      </c>
      <c r="J31" t="str">
        <f t="shared" si="7"/>
        <v>California</v>
      </c>
      <c r="K31" t="str">
        <f t="shared" si="8"/>
        <v>Napa County</v>
      </c>
      <c r="L31">
        <f t="shared" si="9"/>
        <v>88</v>
      </c>
    </row>
    <row r="32" spans="1:12" x14ac:dyDescent="0.35">
      <c r="A32" t="s">
        <v>19</v>
      </c>
      <c r="B32" t="s">
        <v>49</v>
      </c>
      <c r="C32" s="25">
        <v>25</v>
      </c>
      <c r="D32" s="25">
        <v>1809.3</v>
      </c>
      <c r="F32" t="str">
        <f t="shared" si="4"/>
        <v>California</v>
      </c>
      <c r="G32" t="str">
        <f t="shared" si="5"/>
        <v>Nevada County</v>
      </c>
      <c r="H32">
        <f t="shared" si="6"/>
        <v>25</v>
      </c>
      <c r="J32" t="str">
        <f t="shared" si="7"/>
        <v>California</v>
      </c>
      <c r="K32" t="str">
        <f t="shared" si="8"/>
        <v>Nevada County</v>
      </c>
      <c r="L32">
        <f t="shared" si="9"/>
        <v>25</v>
      </c>
    </row>
    <row r="33" spans="1:12" x14ac:dyDescent="0.35">
      <c r="A33" t="s">
        <v>19</v>
      </c>
      <c r="B33" t="s">
        <v>188</v>
      </c>
      <c r="C33" s="25">
        <v>178</v>
      </c>
      <c r="D33" s="25">
        <v>9680.399999999996</v>
      </c>
      <c r="F33" t="str">
        <f t="shared" si="4"/>
        <v>California</v>
      </c>
      <c r="G33" t="str">
        <f t="shared" si="5"/>
        <v>Orange County</v>
      </c>
      <c r="H33">
        <f t="shared" si="6"/>
        <v>178</v>
      </c>
      <c r="J33" t="str">
        <f t="shared" si="7"/>
        <v>California</v>
      </c>
      <c r="K33" t="str">
        <f t="shared" si="8"/>
        <v>Orange County</v>
      </c>
      <c r="L33">
        <f t="shared" si="9"/>
        <v>178</v>
      </c>
    </row>
    <row r="34" spans="1:12" x14ac:dyDescent="0.35">
      <c r="A34" t="s">
        <v>19</v>
      </c>
      <c r="B34" t="s">
        <v>52</v>
      </c>
      <c r="C34" s="25">
        <v>141</v>
      </c>
      <c r="D34" s="25">
        <v>9414.7999999999993</v>
      </c>
      <c r="F34" t="str">
        <f t="shared" si="4"/>
        <v>California</v>
      </c>
      <c r="G34" t="str">
        <f t="shared" si="5"/>
        <v>Placer County</v>
      </c>
      <c r="H34">
        <f t="shared" si="6"/>
        <v>141</v>
      </c>
      <c r="J34" t="str">
        <f t="shared" si="7"/>
        <v>California</v>
      </c>
      <c r="K34" t="str">
        <f t="shared" si="8"/>
        <v>Placer County</v>
      </c>
      <c r="L34">
        <f t="shared" si="9"/>
        <v>141</v>
      </c>
    </row>
    <row r="35" spans="1:12" x14ac:dyDescent="0.35">
      <c r="A35" t="s">
        <v>19</v>
      </c>
      <c r="B35" t="s">
        <v>338</v>
      </c>
      <c r="C35" s="25">
        <v>6</v>
      </c>
      <c r="D35" s="25">
        <v>206.1</v>
      </c>
      <c r="F35" t="str">
        <f t="shared" si="4"/>
        <v>California</v>
      </c>
      <c r="G35" t="str">
        <f t="shared" si="5"/>
        <v>Plumas County</v>
      </c>
      <c r="H35">
        <f t="shared" si="6"/>
        <v>6</v>
      </c>
      <c r="J35" t="str">
        <f t="shared" si="7"/>
        <v>California</v>
      </c>
      <c r="K35" t="str">
        <f t="shared" si="8"/>
        <v>Plumas County</v>
      </c>
      <c r="L35">
        <f t="shared" si="9"/>
        <v>6</v>
      </c>
    </row>
    <row r="36" spans="1:12" x14ac:dyDescent="0.35">
      <c r="A36" t="s">
        <v>19</v>
      </c>
      <c r="B36" t="s">
        <v>158</v>
      </c>
      <c r="C36" s="25">
        <v>178</v>
      </c>
      <c r="D36" s="25">
        <v>7691.3</v>
      </c>
      <c r="F36" t="str">
        <f t="shared" si="4"/>
        <v>California</v>
      </c>
      <c r="G36" t="str">
        <f t="shared" si="5"/>
        <v>Riverside County</v>
      </c>
      <c r="H36">
        <f t="shared" si="6"/>
        <v>178</v>
      </c>
      <c r="J36" t="str">
        <f t="shared" si="7"/>
        <v>California</v>
      </c>
      <c r="K36" t="str">
        <f t="shared" si="8"/>
        <v>Riverside County</v>
      </c>
      <c r="L36">
        <f t="shared" si="9"/>
        <v>178</v>
      </c>
    </row>
    <row r="37" spans="1:12" x14ac:dyDescent="0.35">
      <c r="A37" t="s">
        <v>19</v>
      </c>
      <c r="B37" t="s">
        <v>55</v>
      </c>
      <c r="C37" s="25">
        <v>699</v>
      </c>
      <c r="D37" s="25">
        <v>37784.900000000016</v>
      </c>
      <c r="F37" t="str">
        <f t="shared" si="4"/>
        <v>California</v>
      </c>
      <c r="G37" t="str">
        <f t="shared" si="5"/>
        <v>Sacramento County</v>
      </c>
      <c r="H37">
        <f t="shared" si="6"/>
        <v>699</v>
      </c>
      <c r="J37" t="str">
        <f t="shared" si="7"/>
        <v>California</v>
      </c>
      <c r="K37" t="str">
        <f t="shared" si="8"/>
        <v>Sacramento County</v>
      </c>
      <c r="L37">
        <f t="shared" si="9"/>
        <v>699</v>
      </c>
    </row>
    <row r="38" spans="1:12" x14ac:dyDescent="0.35">
      <c r="A38" t="s">
        <v>19</v>
      </c>
      <c r="B38" t="s">
        <v>342</v>
      </c>
      <c r="C38" s="25">
        <v>23</v>
      </c>
      <c r="D38" s="25">
        <v>1129.7</v>
      </c>
      <c r="F38" t="str">
        <f t="shared" si="4"/>
        <v>California</v>
      </c>
      <c r="G38" t="str">
        <f t="shared" si="5"/>
        <v>San Benito County</v>
      </c>
      <c r="H38">
        <f t="shared" si="6"/>
        <v>23</v>
      </c>
      <c r="J38" t="str">
        <f t="shared" si="7"/>
        <v>California</v>
      </c>
      <c r="K38" t="str">
        <f t="shared" si="8"/>
        <v>San Benito County</v>
      </c>
      <c r="L38">
        <f t="shared" si="9"/>
        <v>23</v>
      </c>
    </row>
    <row r="39" spans="1:12" x14ac:dyDescent="0.35">
      <c r="A39" t="s">
        <v>19</v>
      </c>
      <c r="B39" t="s">
        <v>59</v>
      </c>
      <c r="C39" s="25">
        <v>356</v>
      </c>
      <c r="D39" s="25">
        <v>20988.9</v>
      </c>
      <c r="F39" t="str">
        <f t="shared" si="4"/>
        <v>California</v>
      </c>
      <c r="G39" t="str">
        <f t="shared" si="5"/>
        <v>San Bernardino County</v>
      </c>
      <c r="H39">
        <f t="shared" si="6"/>
        <v>356</v>
      </c>
      <c r="J39" t="str">
        <f t="shared" si="7"/>
        <v>California</v>
      </c>
      <c r="K39" t="str">
        <f t="shared" si="8"/>
        <v>San Bernardino County</v>
      </c>
      <c r="L39">
        <f t="shared" si="9"/>
        <v>356</v>
      </c>
    </row>
    <row r="40" spans="1:12" x14ac:dyDescent="0.35">
      <c r="A40" t="s">
        <v>19</v>
      </c>
      <c r="B40" t="s">
        <v>62</v>
      </c>
      <c r="C40" s="25">
        <v>1768</v>
      </c>
      <c r="D40" s="25">
        <v>98367.099999999977</v>
      </c>
      <c r="F40" t="str">
        <f t="shared" si="4"/>
        <v>California</v>
      </c>
      <c r="G40" t="str">
        <f t="shared" si="5"/>
        <v>San Diego County</v>
      </c>
      <c r="H40">
        <f t="shared" si="6"/>
        <v>1768</v>
      </c>
      <c r="J40" t="str">
        <f t="shared" si="7"/>
        <v>California</v>
      </c>
      <c r="K40" t="str">
        <f t="shared" si="8"/>
        <v>San Diego County</v>
      </c>
      <c r="L40">
        <f t="shared" si="9"/>
        <v>1768</v>
      </c>
    </row>
    <row r="41" spans="1:12" x14ac:dyDescent="0.35">
      <c r="A41" t="s">
        <v>19</v>
      </c>
      <c r="B41" t="s">
        <v>103</v>
      </c>
      <c r="C41" s="25">
        <v>307</v>
      </c>
      <c r="D41" s="25">
        <v>21911.9</v>
      </c>
      <c r="F41" t="str">
        <f t="shared" si="4"/>
        <v>California</v>
      </c>
      <c r="G41" t="str">
        <f t="shared" si="5"/>
        <v>San Francisco</v>
      </c>
      <c r="H41">
        <f t="shared" si="6"/>
        <v>307</v>
      </c>
      <c r="J41" t="str">
        <f t="shared" si="7"/>
        <v>California</v>
      </c>
      <c r="K41" t="str">
        <f t="shared" si="8"/>
        <v>San Francisco</v>
      </c>
      <c r="L41">
        <f t="shared" si="9"/>
        <v>307</v>
      </c>
    </row>
    <row r="42" spans="1:12" x14ac:dyDescent="0.35">
      <c r="A42" t="s">
        <v>19</v>
      </c>
      <c r="B42" t="s">
        <v>201</v>
      </c>
      <c r="C42" s="25">
        <v>117</v>
      </c>
      <c r="D42" s="25">
        <v>5441.2</v>
      </c>
      <c r="F42" t="str">
        <f t="shared" si="4"/>
        <v>California</v>
      </c>
      <c r="G42" t="str">
        <f t="shared" si="5"/>
        <v>San Joaquin County</v>
      </c>
      <c r="H42">
        <f t="shared" si="6"/>
        <v>117</v>
      </c>
      <c r="J42" t="str">
        <f t="shared" si="7"/>
        <v>California</v>
      </c>
      <c r="K42" t="str">
        <f t="shared" si="8"/>
        <v>San Joaquin County</v>
      </c>
      <c r="L42">
        <f t="shared" si="9"/>
        <v>117</v>
      </c>
    </row>
    <row r="43" spans="1:12" x14ac:dyDescent="0.35">
      <c r="A43" t="s">
        <v>19</v>
      </c>
      <c r="B43" t="s">
        <v>429</v>
      </c>
      <c r="C43" s="25">
        <v>13</v>
      </c>
      <c r="D43" s="25">
        <v>392.8</v>
      </c>
      <c r="F43" t="str">
        <f t="shared" si="4"/>
        <v>California</v>
      </c>
      <c r="G43" t="str">
        <f t="shared" si="5"/>
        <v>San Luis Obispo County</v>
      </c>
      <c r="H43">
        <f t="shared" si="6"/>
        <v>13</v>
      </c>
      <c r="J43" t="str">
        <f t="shared" si="7"/>
        <v>California</v>
      </c>
      <c r="K43" t="str">
        <f t="shared" si="8"/>
        <v>San Luis Obispo County</v>
      </c>
      <c r="L43">
        <f t="shared" si="9"/>
        <v>13</v>
      </c>
    </row>
    <row r="44" spans="1:12" x14ac:dyDescent="0.35">
      <c r="A44" t="s">
        <v>19</v>
      </c>
      <c r="B44" t="s">
        <v>72</v>
      </c>
      <c r="C44" s="25">
        <v>364</v>
      </c>
      <c r="D44" s="25">
        <v>16172.000000000005</v>
      </c>
      <c r="F44" t="str">
        <f t="shared" si="4"/>
        <v>California</v>
      </c>
      <c r="G44" t="str">
        <f t="shared" si="5"/>
        <v>San Mateo County</v>
      </c>
      <c r="H44">
        <f t="shared" si="6"/>
        <v>364</v>
      </c>
      <c r="J44" t="str">
        <f t="shared" si="7"/>
        <v>California</v>
      </c>
      <c r="K44" t="str">
        <f t="shared" si="8"/>
        <v>San Mateo County</v>
      </c>
      <c r="L44">
        <f t="shared" si="9"/>
        <v>364</v>
      </c>
    </row>
    <row r="45" spans="1:12" x14ac:dyDescent="0.35">
      <c r="A45" t="s">
        <v>19</v>
      </c>
      <c r="B45" t="s">
        <v>74</v>
      </c>
      <c r="C45" s="25">
        <v>95</v>
      </c>
      <c r="D45" s="25">
        <v>4334.9999999999991</v>
      </c>
      <c r="F45" t="str">
        <f t="shared" si="4"/>
        <v>California</v>
      </c>
      <c r="G45" t="str">
        <f t="shared" si="5"/>
        <v>Santa Barbara County</v>
      </c>
      <c r="H45">
        <f t="shared" si="6"/>
        <v>95</v>
      </c>
      <c r="J45" t="str">
        <f t="shared" si="7"/>
        <v>California</v>
      </c>
      <c r="K45" t="str">
        <f t="shared" si="8"/>
        <v>Santa Barbara County</v>
      </c>
      <c r="L45">
        <f t="shared" si="9"/>
        <v>95</v>
      </c>
    </row>
    <row r="46" spans="1:12" x14ac:dyDescent="0.35">
      <c r="A46" t="s">
        <v>19</v>
      </c>
      <c r="B46" t="s">
        <v>77</v>
      </c>
      <c r="C46" s="25">
        <v>737</v>
      </c>
      <c r="D46" s="25">
        <v>37449.000000000007</v>
      </c>
      <c r="F46" t="str">
        <f t="shared" si="4"/>
        <v>California</v>
      </c>
      <c r="G46" t="str">
        <f t="shared" si="5"/>
        <v>Santa Clara County</v>
      </c>
      <c r="H46">
        <f t="shared" si="6"/>
        <v>737</v>
      </c>
      <c r="J46" t="str">
        <f t="shared" si="7"/>
        <v>California</v>
      </c>
      <c r="K46" t="str">
        <f t="shared" si="8"/>
        <v>Santa Clara County</v>
      </c>
      <c r="L46">
        <f t="shared" si="9"/>
        <v>737</v>
      </c>
    </row>
    <row r="47" spans="1:12" x14ac:dyDescent="0.35">
      <c r="A47" t="s">
        <v>19</v>
      </c>
      <c r="B47" t="s">
        <v>309</v>
      </c>
      <c r="C47" s="25">
        <v>39</v>
      </c>
      <c r="D47" s="25">
        <v>2447.5</v>
      </c>
      <c r="F47" t="str">
        <f t="shared" si="4"/>
        <v>California</v>
      </c>
      <c r="G47" t="str">
        <f t="shared" si="5"/>
        <v>Santa Cruz County</v>
      </c>
      <c r="H47">
        <f t="shared" si="6"/>
        <v>39</v>
      </c>
      <c r="J47" t="str">
        <f t="shared" si="7"/>
        <v>California</v>
      </c>
      <c r="K47" t="str">
        <f t="shared" si="8"/>
        <v>Santa Cruz County</v>
      </c>
      <c r="L47">
        <f t="shared" si="9"/>
        <v>39</v>
      </c>
    </row>
    <row r="48" spans="1:12" x14ac:dyDescent="0.35">
      <c r="A48" t="s">
        <v>19</v>
      </c>
      <c r="B48" t="s">
        <v>1116</v>
      </c>
      <c r="C48" s="25">
        <v>56</v>
      </c>
      <c r="D48" s="25">
        <v>3391.1</v>
      </c>
      <c r="F48" t="str">
        <f t="shared" si="4"/>
        <v>California</v>
      </c>
      <c r="G48" t="str">
        <f t="shared" si="5"/>
        <v>Shasta County</v>
      </c>
      <c r="H48">
        <f t="shared" si="6"/>
        <v>56</v>
      </c>
      <c r="J48" t="str">
        <f t="shared" si="7"/>
        <v>California</v>
      </c>
      <c r="K48" t="str">
        <f t="shared" si="8"/>
        <v>Shasta County</v>
      </c>
      <c r="L48">
        <f t="shared" si="9"/>
        <v>56</v>
      </c>
    </row>
    <row r="49" spans="1:12" x14ac:dyDescent="0.35">
      <c r="A49" t="s">
        <v>19</v>
      </c>
      <c r="B49" t="s">
        <v>700</v>
      </c>
      <c r="C49" s="25">
        <v>2</v>
      </c>
      <c r="D49" s="25">
        <v>30.8</v>
      </c>
      <c r="F49" t="str">
        <f t="shared" si="4"/>
        <v>California</v>
      </c>
      <c r="G49" t="str">
        <f t="shared" si="5"/>
        <v>Sierra County</v>
      </c>
      <c r="H49">
        <f t="shared" si="6"/>
        <v>2</v>
      </c>
      <c r="J49" t="str">
        <f t="shared" si="7"/>
        <v>California</v>
      </c>
      <c r="K49" t="str">
        <f t="shared" si="8"/>
        <v>Sierra County</v>
      </c>
      <c r="L49">
        <f t="shared" si="9"/>
        <v>2</v>
      </c>
    </row>
    <row r="50" spans="1:12" x14ac:dyDescent="0.35">
      <c r="A50" t="s">
        <v>19</v>
      </c>
      <c r="B50" t="s">
        <v>268</v>
      </c>
      <c r="C50" s="25">
        <v>8</v>
      </c>
      <c r="D50" s="25">
        <v>332.3</v>
      </c>
      <c r="F50" t="str">
        <f t="shared" si="4"/>
        <v>California</v>
      </c>
      <c r="G50" t="str">
        <f t="shared" si="5"/>
        <v>Siskiyou County</v>
      </c>
      <c r="H50">
        <f t="shared" si="6"/>
        <v>8</v>
      </c>
      <c r="J50" t="str">
        <f t="shared" si="7"/>
        <v>California</v>
      </c>
      <c r="K50" t="str">
        <f t="shared" si="8"/>
        <v>Siskiyou County</v>
      </c>
      <c r="L50">
        <f t="shared" si="9"/>
        <v>8</v>
      </c>
    </row>
    <row r="51" spans="1:12" x14ac:dyDescent="0.35">
      <c r="A51" t="s">
        <v>19</v>
      </c>
      <c r="B51" t="s">
        <v>377</v>
      </c>
      <c r="C51" s="25">
        <v>52</v>
      </c>
      <c r="D51" s="25">
        <v>3175.9999999999995</v>
      </c>
      <c r="F51" t="str">
        <f t="shared" si="4"/>
        <v>California</v>
      </c>
      <c r="G51" t="str">
        <f t="shared" si="5"/>
        <v>Solano County</v>
      </c>
      <c r="H51">
        <f t="shared" si="6"/>
        <v>52</v>
      </c>
      <c r="J51" t="str">
        <f t="shared" si="7"/>
        <v>California</v>
      </c>
      <c r="K51" t="str">
        <f t="shared" si="8"/>
        <v>Solano County</v>
      </c>
      <c r="L51">
        <f t="shared" si="9"/>
        <v>52</v>
      </c>
    </row>
    <row r="52" spans="1:12" x14ac:dyDescent="0.35">
      <c r="A52" t="s">
        <v>19</v>
      </c>
      <c r="B52" t="s">
        <v>108</v>
      </c>
      <c r="C52" s="25">
        <v>295</v>
      </c>
      <c r="D52" s="25">
        <v>20939.600000000002</v>
      </c>
      <c r="F52" t="str">
        <f t="shared" si="4"/>
        <v>California</v>
      </c>
      <c r="G52" t="str">
        <f t="shared" si="5"/>
        <v>Sonoma County</v>
      </c>
      <c r="H52">
        <f t="shared" si="6"/>
        <v>295</v>
      </c>
      <c r="J52" t="str">
        <f t="shared" si="7"/>
        <v>California</v>
      </c>
      <c r="K52" t="str">
        <f t="shared" si="8"/>
        <v>Sonoma County</v>
      </c>
      <c r="L52">
        <f t="shared" si="9"/>
        <v>295</v>
      </c>
    </row>
    <row r="53" spans="1:12" x14ac:dyDescent="0.35">
      <c r="A53" t="s">
        <v>19</v>
      </c>
      <c r="B53" t="s">
        <v>110</v>
      </c>
      <c r="C53" s="25">
        <v>195</v>
      </c>
      <c r="D53" s="25">
        <v>10185.899999999996</v>
      </c>
      <c r="F53" t="str">
        <f t="shared" si="4"/>
        <v>California</v>
      </c>
      <c r="G53" t="str">
        <f t="shared" si="5"/>
        <v>Stanislaus County</v>
      </c>
      <c r="H53">
        <f t="shared" si="6"/>
        <v>195</v>
      </c>
      <c r="J53" t="str">
        <f t="shared" si="7"/>
        <v>California</v>
      </c>
      <c r="K53" t="str">
        <f t="shared" si="8"/>
        <v>Stanislaus County</v>
      </c>
      <c r="L53">
        <f t="shared" si="9"/>
        <v>195</v>
      </c>
    </row>
    <row r="54" spans="1:12" x14ac:dyDescent="0.35">
      <c r="A54" t="s">
        <v>19</v>
      </c>
      <c r="B54" t="s">
        <v>292</v>
      </c>
      <c r="C54" s="25">
        <v>20</v>
      </c>
      <c r="D54" s="25">
        <v>958.7</v>
      </c>
      <c r="F54" t="str">
        <f t="shared" si="4"/>
        <v>California</v>
      </c>
      <c r="G54" t="str">
        <f t="shared" si="5"/>
        <v>Sutter County</v>
      </c>
      <c r="H54">
        <f t="shared" si="6"/>
        <v>20</v>
      </c>
      <c r="J54" t="str">
        <f t="shared" si="7"/>
        <v>California</v>
      </c>
      <c r="K54" t="str">
        <f t="shared" si="8"/>
        <v>Sutter County</v>
      </c>
      <c r="L54">
        <f t="shared" si="9"/>
        <v>20</v>
      </c>
    </row>
    <row r="55" spans="1:12" x14ac:dyDescent="0.35">
      <c r="A55" t="s">
        <v>19</v>
      </c>
      <c r="B55" t="s">
        <v>79</v>
      </c>
      <c r="C55" s="25">
        <v>6</v>
      </c>
      <c r="D55" s="25">
        <v>323</v>
      </c>
      <c r="F55" t="str">
        <f t="shared" si="4"/>
        <v>California</v>
      </c>
      <c r="G55" t="str">
        <f t="shared" si="5"/>
        <v>Tehama County</v>
      </c>
      <c r="H55">
        <f t="shared" si="6"/>
        <v>6</v>
      </c>
      <c r="J55" t="str">
        <f t="shared" si="7"/>
        <v>California</v>
      </c>
      <c r="K55" t="str">
        <f t="shared" si="8"/>
        <v>Tehama County</v>
      </c>
      <c r="L55">
        <f t="shared" si="9"/>
        <v>6</v>
      </c>
    </row>
    <row r="56" spans="1:12" x14ac:dyDescent="0.35">
      <c r="A56" t="s">
        <v>19</v>
      </c>
      <c r="B56" t="s">
        <v>608</v>
      </c>
      <c r="C56" s="25">
        <v>5</v>
      </c>
      <c r="D56" s="25">
        <v>167.70000000000002</v>
      </c>
      <c r="F56" t="str">
        <f t="shared" si="4"/>
        <v>California</v>
      </c>
      <c r="G56" t="str">
        <f t="shared" si="5"/>
        <v>Trinity County</v>
      </c>
      <c r="H56">
        <f t="shared" si="6"/>
        <v>5</v>
      </c>
      <c r="J56" t="str">
        <f t="shared" si="7"/>
        <v>California</v>
      </c>
      <c r="K56" t="str">
        <f t="shared" si="8"/>
        <v>Trinity County</v>
      </c>
      <c r="L56">
        <f t="shared" si="9"/>
        <v>5</v>
      </c>
    </row>
    <row r="57" spans="1:12" x14ac:dyDescent="0.35">
      <c r="A57" t="s">
        <v>19</v>
      </c>
      <c r="B57" t="s">
        <v>113</v>
      </c>
      <c r="C57" s="25">
        <v>94</v>
      </c>
      <c r="D57" s="25">
        <v>3978.5</v>
      </c>
      <c r="F57" t="str">
        <f t="shared" si="4"/>
        <v>California</v>
      </c>
      <c r="G57" t="str">
        <f t="shared" si="5"/>
        <v>Tulare County</v>
      </c>
      <c r="H57">
        <f t="shared" si="6"/>
        <v>94</v>
      </c>
      <c r="J57" t="str">
        <f t="shared" si="7"/>
        <v>California</v>
      </c>
      <c r="K57" t="str">
        <f t="shared" si="8"/>
        <v>Tulare County</v>
      </c>
      <c r="L57">
        <f t="shared" si="9"/>
        <v>94</v>
      </c>
    </row>
    <row r="58" spans="1:12" x14ac:dyDescent="0.35">
      <c r="A58" t="s">
        <v>19</v>
      </c>
      <c r="B58" t="s">
        <v>997</v>
      </c>
      <c r="C58" s="25">
        <v>28</v>
      </c>
      <c r="D58" s="25">
        <v>1405</v>
      </c>
      <c r="F58" t="str">
        <f t="shared" si="4"/>
        <v>California</v>
      </c>
      <c r="G58" t="str">
        <f t="shared" si="5"/>
        <v>Tuolumne County</v>
      </c>
      <c r="H58">
        <f t="shared" si="6"/>
        <v>28</v>
      </c>
      <c r="J58" t="str">
        <f t="shared" si="7"/>
        <v>California</v>
      </c>
      <c r="K58" t="str">
        <f t="shared" si="8"/>
        <v>Tuolumne County</v>
      </c>
      <c r="L58">
        <f t="shared" si="9"/>
        <v>28</v>
      </c>
    </row>
    <row r="59" spans="1:12" x14ac:dyDescent="0.35">
      <c r="A59" t="s">
        <v>19</v>
      </c>
      <c r="B59" t="s">
        <v>82</v>
      </c>
      <c r="C59" s="25">
        <v>179</v>
      </c>
      <c r="D59" s="25">
        <v>9869.0999999999985</v>
      </c>
      <c r="F59" t="str">
        <f t="shared" si="4"/>
        <v>California</v>
      </c>
      <c r="G59" t="str">
        <f t="shared" si="5"/>
        <v>Ventura County</v>
      </c>
      <c r="H59">
        <f t="shared" si="6"/>
        <v>179</v>
      </c>
      <c r="J59" t="str">
        <f t="shared" si="7"/>
        <v>California</v>
      </c>
      <c r="K59" t="str">
        <f t="shared" si="8"/>
        <v>Ventura County</v>
      </c>
      <c r="L59">
        <f t="shared" si="9"/>
        <v>179</v>
      </c>
    </row>
    <row r="60" spans="1:12" x14ac:dyDescent="0.35">
      <c r="A60" t="s">
        <v>19</v>
      </c>
      <c r="B60" t="s">
        <v>243</v>
      </c>
      <c r="C60" s="25">
        <v>15</v>
      </c>
      <c r="D60" s="25">
        <v>615.29999999999995</v>
      </c>
      <c r="F60" t="str">
        <f t="shared" si="4"/>
        <v>California</v>
      </c>
      <c r="G60" t="str">
        <f t="shared" si="5"/>
        <v>Yolo County</v>
      </c>
      <c r="H60">
        <f t="shared" si="6"/>
        <v>15</v>
      </c>
      <c r="J60" t="str">
        <f t="shared" si="7"/>
        <v>California</v>
      </c>
      <c r="K60" t="str">
        <f t="shared" si="8"/>
        <v>Yolo County</v>
      </c>
      <c r="L60">
        <f t="shared" si="9"/>
        <v>15</v>
      </c>
    </row>
    <row r="61" spans="1:12" x14ac:dyDescent="0.35">
      <c r="A61" t="s">
        <v>19</v>
      </c>
      <c r="B61" t="s">
        <v>1911</v>
      </c>
      <c r="C61" s="25">
        <v>3</v>
      </c>
      <c r="D61" s="25">
        <v>285</v>
      </c>
      <c r="F61" t="str">
        <f t="shared" si="4"/>
        <v>California</v>
      </c>
      <c r="G61" t="str">
        <f t="shared" si="5"/>
        <v>Yuba County</v>
      </c>
      <c r="H61">
        <f t="shared" si="6"/>
        <v>3</v>
      </c>
      <c r="J61" t="str">
        <f t="shared" si="7"/>
        <v>California</v>
      </c>
      <c r="K61" t="str">
        <f t="shared" si="8"/>
        <v>Yuba County</v>
      </c>
      <c r="L61">
        <f t="shared" si="9"/>
        <v>3</v>
      </c>
    </row>
    <row r="62" spans="1:12" x14ac:dyDescent="0.35">
      <c r="F62" t="str">
        <f t="shared" si="4"/>
        <v/>
      </c>
      <c r="G62" t="str">
        <f t="shared" si="5"/>
        <v/>
      </c>
      <c r="H62" t="str">
        <f t="shared" si="6"/>
        <v/>
      </c>
      <c r="J62" t="str">
        <f t="shared" si="7"/>
        <v/>
      </c>
      <c r="K62" t="str">
        <f t="shared" si="8"/>
        <v/>
      </c>
      <c r="L62" t="str">
        <f t="shared" si="9"/>
        <v/>
      </c>
    </row>
    <row r="63" spans="1:12" x14ac:dyDescent="0.35">
      <c r="F63" t="str">
        <f t="shared" si="4"/>
        <v/>
      </c>
      <c r="G63" t="str">
        <f t="shared" si="5"/>
        <v/>
      </c>
      <c r="H63" t="str">
        <f t="shared" si="6"/>
        <v/>
      </c>
      <c r="J63" t="str">
        <f t="shared" si="7"/>
        <v/>
      </c>
      <c r="K63" t="str">
        <f t="shared" si="8"/>
        <v/>
      </c>
      <c r="L63" t="str">
        <f t="shared" si="9"/>
        <v/>
      </c>
    </row>
    <row r="64" spans="1:12" x14ac:dyDescent="0.35">
      <c r="F64" t="str">
        <f t="shared" si="4"/>
        <v/>
      </c>
      <c r="G64" t="str">
        <f t="shared" si="5"/>
        <v/>
      </c>
      <c r="H64" t="str">
        <f t="shared" si="6"/>
        <v/>
      </c>
      <c r="J64" t="str">
        <f t="shared" si="7"/>
        <v/>
      </c>
      <c r="K64" t="str">
        <f t="shared" si="8"/>
        <v/>
      </c>
      <c r="L64" t="str">
        <f t="shared" si="9"/>
        <v/>
      </c>
    </row>
    <row r="65" spans="6:12" x14ac:dyDescent="0.35">
      <c r="F65" t="str">
        <f t="shared" si="4"/>
        <v/>
      </c>
      <c r="G65" t="str">
        <f t="shared" si="5"/>
        <v/>
      </c>
      <c r="H65" t="str">
        <f t="shared" si="6"/>
        <v/>
      </c>
      <c r="J65" t="str">
        <f t="shared" si="7"/>
        <v/>
      </c>
      <c r="K65" t="str">
        <f t="shared" si="8"/>
        <v/>
      </c>
      <c r="L65" t="str">
        <f t="shared" si="9"/>
        <v/>
      </c>
    </row>
    <row r="66" spans="6:12" x14ac:dyDescent="0.35">
      <c r="F66" t="str">
        <f t="shared" si="4"/>
        <v/>
      </c>
      <c r="G66" t="str">
        <f t="shared" si="5"/>
        <v/>
      </c>
      <c r="H66" t="str">
        <f t="shared" si="6"/>
        <v/>
      </c>
      <c r="J66" t="str">
        <f t="shared" si="7"/>
        <v/>
      </c>
      <c r="K66" t="str">
        <f t="shared" si="8"/>
        <v/>
      </c>
      <c r="L66" t="str">
        <f t="shared" si="9"/>
        <v/>
      </c>
    </row>
    <row r="67" spans="6:12" x14ac:dyDescent="0.35">
      <c r="F67" t="str">
        <f t="shared" si="4"/>
        <v/>
      </c>
      <c r="G67" t="str">
        <f t="shared" si="5"/>
        <v/>
      </c>
      <c r="H67" t="str">
        <f t="shared" si="6"/>
        <v/>
      </c>
      <c r="J67" t="str">
        <f t="shared" si="7"/>
        <v/>
      </c>
      <c r="K67" t="str">
        <f t="shared" si="8"/>
        <v/>
      </c>
      <c r="L67" t="str">
        <f t="shared" si="9"/>
        <v/>
      </c>
    </row>
    <row r="68" spans="6:12" x14ac:dyDescent="0.35">
      <c r="F68" t="str">
        <f t="shared" si="4"/>
        <v/>
      </c>
      <c r="G68" t="str">
        <f t="shared" si="5"/>
        <v/>
      </c>
      <c r="H68" t="str">
        <f t="shared" si="6"/>
        <v/>
      </c>
      <c r="J68" t="str">
        <f t="shared" si="7"/>
        <v/>
      </c>
      <c r="K68" t="str">
        <f t="shared" si="8"/>
        <v/>
      </c>
      <c r="L68" t="str">
        <f t="shared" si="9"/>
        <v/>
      </c>
    </row>
    <row r="69" spans="6:12" x14ac:dyDescent="0.35">
      <c r="F69" t="str">
        <f t="shared" ref="F69:F84" si="10">IF(A69="","",A69)</f>
        <v/>
      </c>
      <c r="G69" t="str">
        <f t="shared" ref="G69:G84" si="11">IF(B69="","",B69)</f>
        <v/>
      </c>
      <c r="H69" t="str">
        <f t="shared" ref="H69:H84" si="12">IF(C69="","",C69)</f>
        <v/>
      </c>
      <c r="J69" t="str">
        <f t="shared" ref="J69:J84" si="13">IF(A69="","",A69)</f>
        <v/>
      </c>
      <c r="K69" t="str">
        <f t="shared" ref="K69:K84" si="14">IF(B69="","",B69)</f>
        <v/>
      </c>
      <c r="L69" t="str">
        <f t="shared" ref="L69:L84" si="15">IF(C69="","",C69)</f>
        <v/>
      </c>
    </row>
    <row r="70" spans="6:12" x14ac:dyDescent="0.35">
      <c r="F70" t="str">
        <f t="shared" si="10"/>
        <v/>
      </c>
      <c r="G70" t="str">
        <f t="shared" si="11"/>
        <v/>
      </c>
      <c r="H70" t="str">
        <f t="shared" si="12"/>
        <v/>
      </c>
      <c r="J70" t="str">
        <f t="shared" si="13"/>
        <v/>
      </c>
      <c r="K70" t="str">
        <f t="shared" si="14"/>
        <v/>
      </c>
      <c r="L70" t="str">
        <f t="shared" si="15"/>
        <v/>
      </c>
    </row>
    <row r="71" spans="6:12" x14ac:dyDescent="0.35">
      <c r="F71" t="str">
        <f t="shared" si="10"/>
        <v/>
      </c>
      <c r="G71" t="str">
        <f t="shared" si="11"/>
        <v/>
      </c>
      <c r="H71" t="str">
        <f t="shared" si="12"/>
        <v/>
      </c>
      <c r="J71" t="str">
        <f t="shared" si="13"/>
        <v/>
      </c>
      <c r="K71" t="str">
        <f t="shared" si="14"/>
        <v/>
      </c>
      <c r="L71" t="str">
        <f t="shared" si="15"/>
        <v/>
      </c>
    </row>
    <row r="72" spans="6:12" x14ac:dyDescent="0.35">
      <c r="F72" t="str">
        <f t="shared" si="10"/>
        <v/>
      </c>
      <c r="G72" t="str">
        <f t="shared" si="11"/>
        <v/>
      </c>
      <c r="H72" t="str">
        <f t="shared" si="12"/>
        <v/>
      </c>
      <c r="J72" t="str">
        <f t="shared" si="13"/>
        <v/>
      </c>
      <c r="K72" t="str">
        <f t="shared" si="14"/>
        <v/>
      </c>
      <c r="L72" t="str">
        <f t="shared" si="15"/>
        <v/>
      </c>
    </row>
    <row r="73" spans="6:12" x14ac:dyDescent="0.35">
      <c r="F73" t="str">
        <f t="shared" si="10"/>
        <v/>
      </c>
      <c r="G73" t="str">
        <f t="shared" si="11"/>
        <v/>
      </c>
      <c r="H73" t="str">
        <f t="shared" si="12"/>
        <v/>
      </c>
      <c r="J73" t="str">
        <f t="shared" si="13"/>
        <v/>
      </c>
      <c r="K73" t="str">
        <f t="shared" si="14"/>
        <v/>
      </c>
      <c r="L73" t="str">
        <f t="shared" si="15"/>
        <v/>
      </c>
    </row>
    <row r="74" spans="6:12" x14ac:dyDescent="0.35">
      <c r="F74" t="str">
        <f t="shared" si="10"/>
        <v/>
      </c>
      <c r="G74" t="str">
        <f t="shared" si="11"/>
        <v/>
      </c>
      <c r="H74" t="str">
        <f t="shared" si="12"/>
        <v/>
      </c>
      <c r="J74" t="str">
        <f t="shared" si="13"/>
        <v/>
      </c>
      <c r="K74" t="str">
        <f t="shared" si="14"/>
        <v/>
      </c>
      <c r="L74" t="str">
        <f t="shared" si="15"/>
        <v/>
      </c>
    </row>
    <row r="75" spans="6:12" x14ac:dyDescent="0.35">
      <c r="F75" t="str">
        <f t="shared" si="10"/>
        <v/>
      </c>
      <c r="G75" t="str">
        <f t="shared" si="11"/>
        <v/>
      </c>
      <c r="H75" t="str">
        <f t="shared" si="12"/>
        <v/>
      </c>
      <c r="J75" t="str">
        <f t="shared" si="13"/>
        <v/>
      </c>
      <c r="K75" t="str">
        <f t="shared" si="14"/>
        <v/>
      </c>
      <c r="L75" t="str">
        <f t="shared" si="15"/>
        <v/>
      </c>
    </row>
    <row r="76" spans="6:12" x14ac:dyDescent="0.35">
      <c r="F76" t="str">
        <f t="shared" si="10"/>
        <v/>
      </c>
      <c r="G76" t="str">
        <f t="shared" si="11"/>
        <v/>
      </c>
      <c r="H76" t="str">
        <f t="shared" si="12"/>
        <v/>
      </c>
      <c r="J76" t="str">
        <f t="shared" si="13"/>
        <v/>
      </c>
      <c r="K76" t="str">
        <f t="shared" si="14"/>
        <v/>
      </c>
      <c r="L76" t="str">
        <f t="shared" si="15"/>
        <v/>
      </c>
    </row>
    <row r="77" spans="6:12" x14ac:dyDescent="0.35">
      <c r="F77" t="str">
        <f t="shared" si="10"/>
        <v/>
      </c>
      <c r="G77" t="str">
        <f t="shared" si="11"/>
        <v/>
      </c>
      <c r="H77" t="str">
        <f t="shared" si="12"/>
        <v/>
      </c>
      <c r="J77" t="str">
        <f t="shared" si="13"/>
        <v/>
      </c>
      <c r="K77" t="str">
        <f t="shared" si="14"/>
        <v/>
      </c>
      <c r="L77" t="str">
        <f t="shared" si="15"/>
        <v/>
      </c>
    </row>
    <row r="78" spans="6:12" x14ac:dyDescent="0.35">
      <c r="F78" t="str">
        <f t="shared" si="10"/>
        <v/>
      </c>
      <c r="G78" t="str">
        <f t="shared" si="11"/>
        <v/>
      </c>
      <c r="H78" t="str">
        <f t="shared" si="12"/>
        <v/>
      </c>
      <c r="J78" t="str">
        <f t="shared" si="13"/>
        <v/>
      </c>
      <c r="K78" t="str">
        <f t="shared" si="14"/>
        <v/>
      </c>
      <c r="L78" t="str">
        <f t="shared" si="15"/>
        <v/>
      </c>
    </row>
    <row r="79" spans="6:12" x14ac:dyDescent="0.35">
      <c r="F79" t="str">
        <f t="shared" si="10"/>
        <v/>
      </c>
      <c r="G79" t="str">
        <f t="shared" si="11"/>
        <v/>
      </c>
      <c r="H79" t="str">
        <f t="shared" si="12"/>
        <v/>
      </c>
      <c r="J79" t="str">
        <f t="shared" si="13"/>
        <v/>
      </c>
      <c r="K79" t="str">
        <f t="shared" si="14"/>
        <v/>
      </c>
      <c r="L79" t="str">
        <f t="shared" si="15"/>
        <v/>
      </c>
    </row>
    <row r="80" spans="6:12" x14ac:dyDescent="0.35">
      <c r="F80" t="str">
        <f t="shared" si="10"/>
        <v/>
      </c>
      <c r="G80" t="str">
        <f t="shared" si="11"/>
        <v/>
      </c>
      <c r="H80" t="str">
        <f t="shared" si="12"/>
        <v/>
      </c>
      <c r="J80" t="str">
        <f t="shared" si="13"/>
        <v/>
      </c>
      <c r="K80" t="str">
        <f t="shared" si="14"/>
        <v/>
      </c>
      <c r="L80" t="str">
        <f t="shared" si="15"/>
        <v/>
      </c>
    </row>
    <row r="81" spans="6:12" x14ac:dyDescent="0.35">
      <c r="F81" t="str">
        <f t="shared" si="10"/>
        <v/>
      </c>
      <c r="G81" t="str">
        <f t="shared" si="11"/>
        <v/>
      </c>
      <c r="H81" t="str">
        <f t="shared" si="12"/>
        <v/>
      </c>
      <c r="J81" t="str">
        <f t="shared" si="13"/>
        <v/>
      </c>
      <c r="K81" t="str">
        <f t="shared" si="14"/>
        <v/>
      </c>
      <c r="L81" t="str">
        <f t="shared" si="15"/>
        <v/>
      </c>
    </row>
    <row r="82" spans="6:12" x14ac:dyDescent="0.35">
      <c r="F82" t="str">
        <f t="shared" si="10"/>
        <v/>
      </c>
      <c r="G82" t="str">
        <f t="shared" si="11"/>
        <v/>
      </c>
      <c r="H82" t="str">
        <f t="shared" si="12"/>
        <v/>
      </c>
      <c r="J82" t="str">
        <f t="shared" si="13"/>
        <v/>
      </c>
      <c r="K82" t="str">
        <f t="shared" si="14"/>
        <v/>
      </c>
      <c r="L82" t="str">
        <f t="shared" si="15"/>
        <v/>
      </c>
    </row>
    <row r="83" spans="6:12" x14ac:dyDescent="0.35">
      <c r="F83" t="str">
        <f t="shared" si="10"/>
        <v/>
      </c>
      <c r="G83" t="str">
        <f t="shared" si="11"/>
        <v/>
      </c>
      <c r="H83" t="str">
        <f t="shared" si="12"/>
        <v/>
      </c>
      <c r="J83" t="str">
        <f t="shared" si="13"/>
        <v/>
      </c>
      <c r="K83" t="str">
        <f t="shared" si="14"/>
        <v/>
      </c>
      <c r="L83" t="str">
        <f t="shared" si="15"/>
        <v/>
      </c>
    </row>
    <row r="84" spans="6:12" x14ac:dyDescent="0.35">
      <c r="F84" t="str">
        <f t="shared" si="10"/>
        <v/>
      </c>
      <c r="G84" t="str">
        <f t="shared" si="11"/>
        <v/>
      </c>
      <c r="H84" t="str">
        <f t="shared" si="12"/>
        <v/>
      </c>
      <c r="J84" t="str">
        <f t="shared" si="13"/>
        <v/>
      </c>
      <c r="K84" t="str">
        <f t="shared" si="14"/>
        <v/>
      </c>
      <c r="L84" t="str">
        <f t="shared" si="15"/>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2790-4EC9-46EB-9E9C-F1B4E266F976}">
  <dimension ref="A3:K19"/>
  <sheetViews>
    <sheetView workbookViewId="0">
      <selection activeCell="E3" sqref="E3"/>
    </sheetView>
  </sheetViews>
  <sheetFormatPr defaultRowHeight="14.5" x14ac:dyDescent="0.35"/>
  <cols>
    <col min="1" max="2" width="12.453125" bestFit="1" customWidth="1"/>
    <col min="5" max="5" width="12.453125" bestFit="1" customWidth="1"/>
    <col min="6" max="6" width="15.6328125" bestFit="1" customWidth="1"/>
    <col min="7" max="8" width="3.81640625" bestFit="1" customWidth="1"/>
    <col min="9" max="9" width="4.81640625" bestFit="1" customWidth="1"/>
    <col min="10" max="10" width="3.81640625" bestFit="1" customWidth="1"/>
    <col min="11" max="11" width="10.36328125" bestFit="1" customWidth="1"/>
    <col min="12" max="14" width="7.81640625" bestFit="1" customWidth="1"/>
    <col min="15" max="36" width="8.81640625" bestFit="1" customWidth="1"/>
    <col min="37" max="45" width="8.1796875" bestFit="1" customWidth="1"/>
    <col min="46" max="64" width="9.1796875" bestFit="1" customWidth="1"/>
    <col min="65" max="73" width="8.1796875" bestFit="1" customWidth="1"/>
    <col min="74" max="93" width="9.1796875" bestFit="1" customWidth="1"/>
    <col min="94" max="94" width="10.36328125" bestFit="1" customWidth="1"/>
  </cols>
  <sheetData>
    <row r="3" spans="1:11" x14ac:dyDescent="0.35">
      <c r="A3" s="12" t="s">
        <v>2563</v>
      </c>
      <c r="B3" t="s">
        <v>2552</v>
      </c>
      <c r="E3" s="12" t="s">
        <v>2552</v>
      </c>
      <c r="F3" s="12" t="s">
        <v>2569</v>
      </c>
    </row>
    <row r="4" spans="1:11" x14ac:dyDescent="0.35">
      <c r="A4" s="13">
        <v>0</v>
      </c>
      <c r="B4" s="25">
        <v>175</v>
      </c>
      <c r="E4" s="12" t="s">
        <v>2563</v>
      </c>
      <c r="F4">
        <v>1</v>
      </c>
      <c r="G4">
        <v>2</v>
      </c>
      <c r="H4">
        <v>3</v>
      </c>
      <c r="I4">
        <v>4</v>
      </c>
      <c r="J4">
        <v>5</v>
      </c>
      <c r="K4" t="s">
        <v>2564</v>
      </c>
    </row>
    <row r="5" spans="1:11" x14ac:dyDescent="0.35">
      <c r="A5" s="13">
        <v>1</v>
      </c>
      <c r="B5" s="25">
        <v>888</v>
      </c>
      <c r="E5" s="13" t="s">
        <v>2573</v>
      </c>
      <c r="F5" s="25">
        <v>7</v>
      </c>
      <c r="G5" s="25">
        <v>37</v>
      </c>
      <c r="H5" s="25">
        <v>150</v>
      </c>
      <c r="I5" s="25">
        <v>312</v>
      </c>
      <c r="J5" s="25">
        <v>224</v>
      </c>
      <c r="K5" s="25">
        <v>730</v>
      </c>
    </row>
    <row r="6" spans="1:11" x14ac:dyDescent="0.35">
      <c r="A6" s="13">
        <v>2</v>
      </c>
      <c r="B6" s="25">
        <v>538</v>
      </c>
      <c r="E6" s="13" t="s">
        <v>2574</v>
      </c>
      <c r="F6" s="25">
        <v>8</v>
      </c>
      <c r="G6" s="25">
        <v>51</v>
      </c>
      <c r="H6" s="25">
        <v>182</v>
      </c>
      <c r="I6" s="25">
        <v>373</v>
      </c>
      <c r="J6" s="25">
        <v>247</v>
      </c>
      <c r="K6" s="25">
        <v>861</v>
      </c>
    </row>
    <row r="7" spans="1:11" x14ac:dyDescent="0.35">
      <c r="A7" s="13">
        <v>3</v>
      </c>
      <c r="B7" s="25">
        <v>344</v>
      </c>
      <c r="E7" s="13" t="s">
        <v>2575</v>
      </c>
      <c r="F7" s="25">
        <v>6</v>
      </c>
      <c r="G7" s="25">
        <v>39</v>
      </c>
      <c r="H7" s="25">
        <v>163</v>
      </c>
      <c r="I7" s="25">
        <v>351</v>
      </c>
      <c r="J7" s="25">
        <v>250</v>
      </c>
      <c r="K7" s="25">
        <v>809</v>
      </c>
    </row>
    <row r="8" spans="1:11" x14ac:dyDescent="0.35">
      <c r="A8" s="13">
        <v>4</v>
      </c>
      <c r="B8" s="25">
        <v>200</v>
      </c>
      <c r="E8" s="13" t="s">
        <v>2564</v>
      </c>
      <c r="F8" s="25">
        <v>21</v>
      </c>
      <c r="G8" s="25">
        <v>127</v>
      </c>
      <c r="H8" s="25">
        <v>495</v>
      </c>
      <c r="I8" s="25">
        <v>1036</v>
      </c>
      <c r="J8" s="25">
        <v>721</v>
      </c>
      <c r="K8" s="25">
        <v>2400</v>
      </c>
    </row>
    <row r="9" spans="1:11" x14ac:dyDescent="0.35">
      <c r="A9" s="13">
        <v>5</v>
      </c>
      <c r="B9" s="25">
        <v>94</v>
      </c>
    </row>
    <row r="10" spans="1:11" x14ac:dyDescent="0.35">
      <c r="A10" s="13">
        <v>6</v>
      </c>
      <c r="B10" s="25">
        <v>51</v>
      </c>
    </row>
    <row r="11" spans="1:11" x14ac:dyDescent="0.35">
      <c r="A11" s="13">
        <v>7</v>
      </c>
      <c r="B11" s="25">
        <v>32</v>
      </c>
    </row>
    <row r="12" spans="1:11" x14ac:dyDescent="0.35">
      <c r="A12" s="13">
        <v>8</v>
      </c>
      <c r="B12" s="25">
        <v>23</v>
      </c>
    </row>
    <row r="13" spans="1:11" x14ac:dyDescent="0.35">
      <c r="A13" s="13">
        <v>9</v>
      </c>
      <c r="B13" s="25">
        <v>9</v>
      </c>
    </row>
    <row r="14" spans="1:11" x14ac:dyDescent="0.35">
      <c r="A14" s="13">
        <v>10</v>
      </c>
      <c r="B14" s="25">
        <v>8</v>
      </c>
    </row>
    <row r="15" spans="1:11" x14ac:dyDescent="0.35">
      <c r="A15" s="13">
        <v>11</v>
      </c>
      <c r="B15" s="25">
        <v>11</v>
      </c>
    </row>
    <row r="16" spans="1:11" x14ac:dyDescent="0.35">
      <c r="A16" s="13">
        <v>12</v>
      </c>
      <c r="B16" s="25">
        <v>4</v>
      </c>
    </row>
    <row r="17" spans="1:2" x14ac:dyDescent="0.35">
      <c r="A17" s="13">
        <v>13</v>
      </c>
      <c r="B17" s="25">
        <v>10</v>
      </c>
    </row>
    <row r="18" spans="1:2" x14ac:dyDescent="0.35">
      <c r="A18" s="13">
        <v>14</v>
      </c>
      <c r="B18" s="25">
        <v>13</v>
      </c>
    </row>
    <row r="19" spans="1:2" x14ac:dyDescent="0.35">
      <c r="A19" s="13" t="s">
        <v>2564</v>
      </c>
      <c r="B19" s="25">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6" sqref="B6"/>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6" sqref="B6:B11"/>
    </sheetView>
  </sheetViews>
  <sheetFormatPr defaultRowHeight="14.5" x14ac:dyDescent="0.35"/>
  <cols>
    <col min="1" max="1" width="3.36328125" customWidth="1"/>
    <col min="8" max="8" width="37.36328125" customWidth="1"/>
  </cols>
  <sheetData>
    <row r="2" spans="2:8" x14ac:dyDescent="0.35">
      <c r="H2" t="s">
        <v>2548</v>
      </c>
    </row>
    <row r="3" spans="2:8" x14ac:dyDescent="0.35">
      <c r="B3" t="s">
        <v>2518</v>
      </c>
    </row>
    <row r="4" spans="2:8" x14ac:dyDescent="0.35">
      <c r="H4" s="11" t="s">
        <v>2549</v>
      </c>
    </row>
    <row r="5" spans="2:8" x14ac:dyDescent="0.35">
      <c r="B5" t="s">
        <v>2519</v>
      </c>
      <c r="H5" s="11" t="s">
        <v>2550</v>
      </c>
    </row>
    <row r="6" spans="2:8" x14ac:dyDescent="0.35">
      <c r="B6" s="5"/>
      <c r="C6" t="s">
        <v>2520</v>
      </c>
      <c r="D6" t="s">
        <v>2526</v>
      </c>
      <c r="H6" t="s">
        <v>2551</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vt:lpstr>
      <vt:lpstr>d</vt:lpstr>
      <vt:lpstr>Sheet2</vt:lpstr>
      <vt:lpstr>Sheet3</vt:lpstr>
      <vt:lpstr>Sheet1</vt:lpstr>
      <vt:lpstr>Sheet4</vt:lpstr>
      <vt:lpstr>Sheet5</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dcterms:created xsi:type="dcterms:W3CDTF">2025-06-13T02:42:26Z</dcterms:created>
  <dcterms:modified xsi:type="dcterms:W3CDTF">2026-06-17T11:27:01Z</dcterms:modified>
</cp:coreProperties>
</file>